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" sheetId="1" r:id="rId4"/>
    <sheet state="visible" name="Journal entries" sheetId="2" r:id="rId5"/>
    <sheet state="visible" name="Ledger" sheetId="3" r:id="rId6"/>
    <sheet state="visible" name="Trial balance" sheetId="4" r:id="rId7"/>
    <sheet state="visible" name="Trading Account" sheetId="5" r:id="rId8"/>
    <sheet state="visible" name="P&amp;L account" sheetId="6" r:id="rId9"/>
    <sheet state="visible" name="Balance sheet" sheetId="7" r:id="rId10"/>
    <sheet state="visible" name="Ratio Analysis" sheetId="8" r:id="rId11"/>
  </sheets>
  <definedNames/>
  <calcPr/>
  <extLst>
    <ext uri="GoogleSheetsCustomDataVersion2">
      <go:sheetsCustomData xmlns:go="http://customooxmlschemas.google.com/" r:id="rId12" roundtripDataChecksum="F5UZSsxhLGRh+ez1uwCQYpe5heWueF6/NTs8RpynGDI="/>
    </ext>
  </extLst>
</workbook>
</file>

<file path=xl/sharedStrings.xml><?xml version="1.0" encoding="utf-8"?>
<sst xmlns="http://schemas.openxmlformats.org/spreadsheetml/2006/main" count="1028" uniqueCount="411">
  <si>
    <t>The following are the balances extracted from the books of M/s Greenfield Enterprises as on 1 April 2026 and the transactions entered during the month of April 2026.</t>
  </si>
  <si>
    <r>
      <rPr>
        <rFont val="Calibri"/>
        <color theme="1"/>
      </rPr>
      <t xml:space="preserve">                           </t>
    </r>
    <r>
      <rPr>
        <rFont val="Calibri"/>
        <b/>
        <color theme="1"/>
        <sz val="11.0"/>
      </rPr>
      <t xml:space="preserve">   Trial balance as on 30th April 2026</t>
    </r>
  </si>
  <si>
    <r>
      <rPr>
        <rFont val="Calibri"/>
        <color theme="1"/>
      </rPr>
      <t xml:space="preserve">                </t>
    </r>
    <r>
      <rPr>
        <rFont val="Calibri"/>
        <b/>
        <color theme="1"/>
        <sz val="12.0"/>
      </rPr>
      <t xml:space="preserve">                      In tha books of  greenfeild enderprises journal entries for the month of April 2026</t>
    </r>
  </si>
  <si>
    <t>S.NO</t>
  </si>
  <si>
    <t>From the following information, prepare:</t>
  </si>
  <si>
    <t>1. Journal Entries</t>
  </si>
  <si>
    <t>Date</t>
  </si>
  <si>
    <t>Particulars</t>
  </si>
  <si>
    <t>2. Ledger Accounts</t>
  </si>
  <si>
    <t>Ledger entries of Greenfield Enterprises for the month of April 2026</t>
  </si>
  <si>
    <t xml:space="preserve">Particulars </t>
  </si>
  <si>
    <t>Debit ₹</t>
  </si>
  <si>
    <t>3. Trial Balance</t>
  </si>
  <si>
    <t>Credit ₹</t>
  </si>
  <si>
    <t>L.F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</si>
  <si>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</si>
  <si>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</si>
  <si>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</si>
  <si>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</si>
  <si>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Cash A/C</t>
  </si>
  <si>
    <t>Current Ratio</t>
  </si>
  <si>
    <t>Cash A/c</t>
  </si>
  <si>
    <t>Quick Ratio</t>
  </si>
  <si>
    <t>Dr</t>
  </si>
  <si>
    <t>Debt-to-Equity Ratio</t>
  </si>
  <si>
    <t xml:space="preserve">         -</t>
  </si>
  <si>
    <t>Debt-to-Asset Ratio</t>
  </si>
  <si>
    <t>Bank A/C</t>
  </si>
  <si>
    <t>Capital Account</t>
  </si>
  <si>
    <t>Purchases A/C</t>
  </si>
  <si>
    <t>Asset Turnover Ratio</t>
  </si>
  <si>
    <t>Royal Suppliers A/C</t>
  </si>
  <si>
    <t>Inventory Turnover Ratio</t>
  </si>
  <si>
    <t>Arjun Traders A/C</t>
  </si>
  <si>
    <t>Sales A/C</t>
  </si>
  <si>
    <t>Bank A/c</t>
  </si>
  <si>
    <t>Carriage Inwards A/C</t>
  </si>
  <si>
    <t>Working Capital Turnover Ratio</t>
  </si>
  <si>
    <t>Wages A/C</t>
  </si>
  <si>
    <t>Stock A/c</t>
  </si>
  <si>
    <t>Dr.</t>
  </si>
  <si>
    <t>Purchase Return A/C</t>
  </si>
  <si>
    <t>Cash Ratio</t>
  </si>
  <si>
    <t>Sales Return A/C</t>
  </si>
  <si>
    <t>Furniture A/c</t>
  </si>
  <si>
    <t>Computer A/C</t>
  </si>
  <si>
    <t>Cr.</t>
  </si>
  <si>
    <t>Salary A/C</t>
  </si>
  <si>
    <t>Buildings A/c</t>
  </si>
  <si>
    <t>Opening Balances as on 1st April 2026</t>
  </si>
  <si>
    <t>Discount Allowed A/C</t>
  </si>
  <si>
    <t>J.F</t>
  </si>
  <si>
    <t>Amount ₹</t>
  </si>
  <si>
    <t>Machinery A/c</t>
  </si>
  <si>
    <t>Particular</t>
  </si>
  <si>
    <t>Discount Received A/C</t>
  </si>
  <si>
    <t>Rent A/C</t>
  </si>
  <si>
    <t>01.04.2026</t>
  </si>
  <si>
    <t>Metro Distributors A/C</t>
  </si>
  <si>
    <t>To Royal Suppliers A/C</t>
  </si>
  <si>
    <t>Amount (₹)</t>
  </si>
  <si>
    <t>Arjun Traders A/c</t>
  </si>
  <si>
    <t>Meera Stores A/C</t>
  </si>
  <si>
    <t>Electricity Charges A/C</t>
  </si>
  <si>
    <t>Meera Stores A/c</t>
  </si>
  <si>
    <t>Commission Received A/C</t>
  </si>
  <si>
    <t>Capital A/C</t>
  </si>
  <si>
    <t>To capital A/c</t>
  </si>
  <si>
    <t>Cash in Hand</t>
  </si>
  <si>
    <t>Drawings A/C</t>
  </si>
  <si>
    <t>Insurance Premium A/C</t>
  </si>
  <si>
    <t>To Metro Distributors A/C</t>
  </si>
  <si>
    <t>Carriage Outwards A/C</t>
  </si>
  <si>
    <t>Interest Received A/C</t>
  </si>
  <si>
    <t>Advertisement Expenses A/C</t>
  </si>
  <si>
    <t>Cash at Bank</t>
  </si>
  <si>
    <t xml:space="preserve">To Royal suppliers </t>
  </si>
  <si>
    <t>To Bank Loan A/C</t>
  </si>
  <si>
    <t>Miscellaneous Expenses A/C</t>
  </si>
  <si>
    <t>To Metro distributers A/c</t>
  </si>
  <si>
    <t>Opening Stock A/C</t>
  </si>
  <si>
    <t>Furniture A/C</t>
  </si>
  <si>
    <t>Opening Stock</t>
  </si>
  <si>
    <t>To Bank</t>
  </si>
  <si>
    <t>30.04.2026</t>
  </si>
  <si>
    <t>Bank Loan Interest A/C</t>
  </si>
  <si>
    <t>To Balance c/d</t>
  </si>
  <si>
    <t>(Being introduced opening balance)</t>
  </si>
  <si>
    <t>Furniture</t>
  </si>
  <si>
    <t>Machinery A/C</t>
  </si>
  <si>
    <t>Building A/C</t>
  </si>
  <si>
    <t>Machinery</t>
  </si>
  <si>
    <t>Bank Loan A/C</t>
  </si>
  <si>
    <t xml:space="preserve">Purchases A/c </t>
  </si>
  <si>
    <t>Building</t>
  </si>
  <si>
    <t>Total</t>
  </si>
  <si>
    <t>Debtors – Arjun Traders</t>
  </si>
  <si>
    <t>To Royal Suppliers A/c</t>
  </si>
  <si>
    <t>(Being goods purchased on credit from Royal Suppliers)</t>
  </si>
  <si>
    <t>Debtors – Meera Stores</t>
  </si>
  <si>
    <t>To Cash A/c</t>
  </si>
  <si>
    <t>Creditors – Royal Suppliers</t>
  </si>
  <si>
    <t>(Being goods purchased for cash)</t>
  </si>
  <si>
    <t xml:space="preserve">Arjun Traders A/c </t>
  </si>
  <si>
    <t>Creditors – Metro Distributors</t>
  </si>
  <si>
    <t>To Sales A/c</t>
  </si>
  <si>
    <t>(Being goods sold on credit to Arjun Traders)</t>
  </si>
  <si>
    <t xml:space="preserve">Cash A/c </t>
  </si>
  <si>
    <t>Bank Loan</t>
  </si>
  <si>
    <t>(Being goods sold for cash)</t>
  </si>
  <si>
    <t xml:space="preserve">Carriage Inward A/c </t>
  </si>
  <si>
    <t>(Being carriage inward paid)</t>
  </si>
  <si>
    <t xml:space="preserve">Wages A/c </t>
  </si>
  <si>
    <t>(Being wages paid)</t>
  </si>
  <si>
    <t xml:space="preserve">Royal Suppliers A/c </t>
  </si>
  <si>
    <t>Transactions for April 2026</t>
  </si>
  <si>
    <t>To Purchase Returns A/c</t>
  </si>
  <si>
    <t>(Being goods returned to Royal Suppliers)</t>
  </si>
  <si>
    <t>Transactions</t>
  </si>
  <si>
    <t>01.05.2026</t>
  </si>
  <si>
    <t>By Balance b/d</t>
  </si>
  <si>
    <t xml:space="preserve">Sales Returns A/c </t>
  </si>
  <si>
    <t>To Arjun Traders A/c</t>
  </si>
  <si>
    <t>(Being goods returned by Arjun Traders)</t>
  </si>
  <si>
    <t>Purchased goods from Royal Suppliers on credit ₹1,40,000</t>
  </si>
  <si>
    <t xml:space="preserve">Computer A/c </t>
  </si>
  <si>
    <t>Cash Account</t>
  </si>
  <si>
    <t>To Bank A/c</t>
  </si>
  <si>
    <t>(Being office computer purchased by cheque)</t>
  </si>
  <si>
    <t>Purchased goods for cash ₹50,000</t>
  </si>
  <si>
    <t xml:space="preserve">Salary A/c </t>
  </si>
  <si>
    <t>Sold goods to Arjun Traders on credit ₹2,10,000</t>
  </si>
  <si>
    <t>To Balance b/d</t>
  </si>
  <si>
    <t>(Being salary paid)</t>
  </si>
  <si>
    <t>03.04.2026</t>
  </si>
  <si>
    <t>By Purchases A/C</t>
  </si>
  <si>
    <t>05.04.2026</t>
  </si>
  <si>
    <t>Sold goods for cash ₹90,000</t>
  </si>
  <si>
    <t>To Sales A/C</t>
  </si>
  <si>
    <t xml:space="preserve">Discount Allowed A/c </t>
  </si>
  <si>
    <t>06.04.2026</t>
  </si>
  <si>
    <t>By Carriage Inwards A/C</t>
  </si>
  <si>
    <t>12.04.2026</t>
  </si>
  <si>
    <t>To Arjun Traders A/C</t>
  </si>
  <si>
    <t>(Being amount received from Arjun Traders and discount allowed)</t>
  </si>
  <si>
    <t>Paid carriage inward ₹6,000</t>
  </si>
  <si>
    <t>07.04.2026</t>
  </si>
  <si>
    <t>By Wages A/C</t>
  </si>
  <si>
    <t>19.04.2026</t>
  </si>
  <si>
    <t>To Commission Received A/C</t>
  </si>
  <si>
    <t>Paid wages ₹18,000</t>
  </si>
  <si>
    <t>11.04.2026</t>
  </si>
  <si>
    <t>By Salary A/C</t>
  </si>
  <si>
    <t>Returned goods to Royal Suppliers worth ₹15,000</t>
  </si>
  <si>
    <t>20.04.2026</t>
  </si>
  <si>
    <t>To Bank A/C</t>
  </si>
  <si>
    <t>To Discount Received A/c</t>
  </si>
  <si>
    <t>14.04.2026</t>
  </si>
  <si>
    <t>By Rent A/C</t>
  </si>
  <si>
    <t>Arjun Traders returned goods worth ₹12,000</t>
  </si>
  <si>
    <t>(Being amount paid to Royal Suppliers by cheque and discount received)</t>
  </si>
  <si>
    <t xml:space="preserve">Rent A/c </t>
  </si>
  <si>
    <t>18.04.2026</t>
  </si>
  <si>
    <t>By Electricity Charges A/C</t>
  </si>
  <si>
    <t>Purchased office computer by cheque ₹60,000</t>
  </si>
  <si>
    <t>(Being office rent paid)</t>
  </si>
  <si>
    <t>21.04.2026</t>
  </si>
  <si>
    <t>Paid salary ₹28,000</t>
  </si>
  <si>
    <t>To Metro Distributors A/c</t>
  </si>
  <si>
    <t>(Being goods purchased on credit from Metro Distributors)</t>
  </si>
  <si>
    <t>23.04.2026</t>
  </si>
  <si>
    <t>Received ₹2,50,000 from Arjun Traders and allowed discount ₹8,000</t>
  </si>
  <si>
    <t>By Carriage Outwards A/C</t>
  </si>
  <si>
    <t xml:space="preserve">Meera Stores A/c </t>
  </si>
  <si>
    <t>Paid Royal Suppliers ₹1,80,000 by cheque and received discount ₹10,000</t>
  </si>
  <si>
    <t>25.04.2026</t>
  </si>
  <si>
    <t>(Being goods sold on credit to Meera Stores)</t>
  </si>
  <si>
    <t>By Purchased A/C</t>
  </si>
  <si>
    <t xml:space="preserve">Bank A/c </t>
  </si>
  <si>
    <t>To Meera Stores A/c</t>
  </si>
  <si>
    <t>26.04.2026</t>
  </si>
  <si>
    <t>Paid office rent ₹22,000</t>
  </si>
  <si>
    <t>By Advertisement Expenses A/C</t>
  </si>
  <si>
    <t>(Being amount received from Meera Stores through bank)</t>
  </si>
  <si>
    <t>Purchased goods on credit from Metro Distributors ₹95,000</t>
  </si>
  <si>
    <t>27.04.2026</t>
  </si>
  <si>
    <t xml:space="preserve">Electricity Charges A/c </t>
  </si>
  <si>
    <t>By Miscellaneous Expenses A/C</t>
  </si>
  <si>
    <t>Sold goods on credit to Meera Stores ₹1,40,000</t>
  </si>
  <si>
    <t>(Being electricity charges paid)</t>
  </si>
  <si>
    <t>28.04.2026</t>
  </si>
  <si>
    <t>By Furniture A/C</t>
  </si>
  <si>
    <t>Received ₹1,25,000 from Meera Stores through bank</t>
  </si>
  <si>
    <t>29.04.2026</t>
  </si>
  <si>
    <t>To Commission Received A/c</t>
  </si>
  <si>
    <t>By Bank Loan Interest A/C</t>
  </si>
  <si>
    <t>(Being commission received in cash)</t>
  </si>
  <si>
    <t>Paid electricity charges ₹7,000</t>
  </si>
  <si>
    <t>By Bank A/C</t>
  </si>
  <si>
    <t>Received commission ₹11,000 in cash</t>
  </si>
  <si>
    <t>By Balance c/d</t>
  </si>
  <si>
    <t>(Being cash withdrawn from bank for office use)</t>
  </si>
  <si>
    <t>Withdrew cash from bank for office use ₹25,000</t>
  </si>
  <si>
    <t xml:space="preserve">Drawings A/c </t>
  </si>
  <si>
    <t>Drawings by proprietor in cash ₹15,000</t>
  </si>
  <si>
    <t>Paid insurance premium by cheque ₹8,000</t>
  </si>
  <si>
    <t>(Being cash withdrawn by proprietor for personal use)</t>
  </si>
  <si>
    <t>Paid carriage outward ₹5,000</t>
  </si>
  <si>
    <t xml:space="preserve">Insurance A/c </t>
  </si>
  <si>
    <t>Received interest from bank ₹4,000</t>
  </si>
  <si>
    <t>(Being insurance premium paid by cheque)</t>
  </si>
  <si>
    <t>Purchased goods for cash ₹35,000</t>
  </si>
  <si>
    <t xml:space="preserve">Carriage Outward A/c </t>
  </si>
  <si>
    <t>Paid advertisement expenses ₹10,000</t>
  </si>
  <si>
    <t>Bank Account</t>
  </si>
  <si>
    <t>(Being carriage outward paid)</t>
  </si>
  <si>
    <t>Paid miscellaneous expenses ₹3,500</t>
  </si>
  <si>
    <t>Purchased furniture for cash ₹30,000</t>
  </si>
  <si>
    <t>To Interest Received A/c</t>
  </si>
  <si>
    <t>Paid bank loan interest ₹7,000</t>
  </si>
  <si>
    <t>(Being interest received from bank)</t>
  </si>
  <si>
    <t>Deposited additional cash into bank ₹50,000</t>
  </si>
  <si>
    <t>10.04.2026</t>
  </si>
  <si>
    <t>17.04.2026</t>
  </si>
  <si>
    <t>To Meera Stores A/C</t>
  </si>
  <si>
    <t xml:space="preserve">Advertisement Expenses A/c </t>
  </si>
  <si>
    <t>13.04.2026</t>
  </si>
  <si>
    <t>24.04.2026</t>
  </si>
  <si>
    <t>(Being advertisement expenses paid)</t>
  </si>
  <si>
    <t>To Interest Received A/C</t>
  </si>
  <si>
    <t xml:space="preserve">Miscellaneous Expenses A/c </t>
  </si>
  <si>
    <t>Additional Information</t>
  </si>
  <si>
    <t>(Being miscellaneous expenses paid)</t>
  </si>
  <si>
    <t>To Cash A/C</t>
  </si>
  <si>
    <t xml:space="preserve">Furniture A/c </t>
  </si>
  <si>
    <t>22.04.2026</t>
  </si>
  <si>
    <t>(Being furniture purchased for cash)</t>
  </si>
  <si>
    <t xml:space="preserve">Bank Loan Interest A/c </t>
  </si>
  <si>
    <t>1. Closing stock on 30th April 2026 was valued at ₹1,40,000.</t>
  </si>
  <si>
    <t>(Being bank loan interest paid)</t>
  </si>
  <si>
    <t>2. Depreciate machinery @ 10% p.a.</t>
  </si>
  <si>
    <t>(Being additional cash deposited into bank)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</si>
  <si>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</si>
  <si>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</si>
  <si>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</si>
  <si>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</si>
  <si>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</si>
  <si>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Trading Account for the Month Ended 30th April 2026</t>
  </si>
  <si>
    <t>8. Interest on bank loan accrued but not paid ₹3,000.</t>
  </si>
  <si>
    <t>Purchases Account</t>
  </si>
  <si>
    <t>02.04.2026</t>
  </si>
  <si>
    <t>To Opening Stock</t>
  </si>
  <si>
    <t>By Sales</t>
  </si>
  <si>
    <t>To Purchases A/C</t>
  </si>
  <si>
    <t>15.04.2026</t>
  </si>
  <si>
    <r>
      <rPr>
        <rFont val="Calibri"/>
        <b/>
        <color rgb="FF000000"/>
        <sz val="11.0"/>
      </rPr>
      <t>Less :</t>
    </r>
    <r>
      <rPr>
        <rFont val="Calibri"/>
        <b val="0"/>
        <color rgb="FF000000"/>
        <sz val="11.0"/>
      </rPr>
      <t xml:space="preserve"> Sales Return</t>
    </r>
  </si>
  <si>
    <r>
      <rPr>
        <rFont val="Calibri"/>
        <b/>
        <color rgb="FF000000"/>
        <sz val="11.0"/>
      </rPr>
      <t>Less :</t>
    </r>
    <r>
      <rPr>
        <rFont val="Calibri"/>
        <b val="0"/>
        <color rgb="FF000000"/>
        <sz val="11.0"/>
      </rPr>
      <t xml:space="preserve"> Purchase Return</t>
    </r>
  </si>
  <si>
    <t>By Closing Stock</t>
  </si>
  <si>
    <t>Direct Expenses :</t>
  </si>
  <si>
    <t>To Wages A/C</t>
  </si>
  <si>
    <t>To Carriage Inwards A/C</t>
  </si>
  <si>
    <t>To Gross Profit c/d</t>
  </si>
  <si>
    <t>Royal Suppliers Account</t>
  </si>
  <si>
    <t>08.04.2026</t>
  </si>
  <si>
    <t>To Purchase Return A/C</t>
  </si>
  <si>
    <t>To Discount Received A/C</t>
  </si>
  <si>
    <t>Arjun Traders Account</t>
  </si>
  <si>
    <t>09.04.2026</t>
  </si>
  <si>
    <t>By Sales Return A/C</t>
  </si>
  <si>
    <t>04.04.2026</t>
  </si>
  <si>
    <t>By Discount Allowed A/C</t>
  </si>
  <si>
    <t>Profit &amp; Loss Account for the Month Ended 30th April 2026</t>
  </si>
  <si>
    <t>To Salary A/C</t>
  </si>
  <si>
    <t>Sales Account</t>
  </si>
  <si>
    <t>By Gross Profit b/d</t>
  </si>
  <si>
    <r>
      <rPr>
        <rFont val="Calibri"/>
        <b/>
        <color rgb="FF000000"/>
        <sz val="11.0"/>
      </rPr>
      <t>Add :</t>
    </r>
    <r>
      <rPr>
        <rFont val="Calibri"/>
        <b val="0"/>
        <color rgb="FF000000"/>
        <sz val="11.0"/>
      </rPr>
      <t xml:space="preserve"> Outstanding Salary</t>
    </r>
  </si>
  <si>
    <t>By Discount Received A/C</t>
  </si>
  <si>
    <t>By Arjun Traders A/C</t>
  </si>
  <si>
    <t>To Discount Allowed A/C</t>
  </si>
  <si>
    <t>By Commission Received A/C</t>
  </si>
  <si>
    <t>By Cash A/C</t>
  </si>
  <si>
    <t>To Rent A/C</t>
  </si>
  <si>
    <t>By Interest Received A/C</t>
  </si>
  <si>
    <t>16.04.2026</t>
  </si>
  <si>
    <t>By Meera Stores A/C</t>
  </si>
  <si>
    <t>To Electricity Charges A/C</t>
  </si>
  <si>
    <t>To Insurance Premium A/C</t>
  </si>
  <si>
    <r>
      <rPr>
        <rFont val="Calibri"/>
        <b/>
        <color rgb="FF000000"/>
        <sz val="11.0"/>
      </rPr>
      <t xml:space="preserve">Less : </t>
    </r>
    <r>
      <rPr>
        <rFont val="Calibri"/>
        <b val="0"/>
        <color rgb="FF000000"/>
        <sz val="11.0"/>
      </rPr>
      <t>Prepaid Insurance</t>
    </r>
  </si>
  <si>
    <t>To Carriage Outwards A/C</t>
  </si>
  <si>
    <t>To Advertisement Expenses A/C</t>
  </si>
  <si>
    <t>To Miscellaneous Expenses A/C</t>
  </si>
  <si>
    <t>To Bank Loan Interest A/C</t>
  </si>
  <si>
    <r>
      <rPr>
        <rFont val="Calibri"/>
        <b/>
        <color rgb="FF000000"/>
        <sz val="11.0"/>
      </rPr>
      <t>Add :</t>
    </r>
    <r>
      <rPr>
        <rFont val="Calibri"/>
        <b val="0"/>
        <color rgb="FF000000"/>
        <sz val="11.0"/>
      </rPr>
      <t xml:space="preserve"> Accrued Interest on Bank Loan</t>
    </r>
  </si>
  <si>
    <t>Carriage Inwards Account</t>
  </si>
  <si>
    <t>To Depreciation on Machinery</t>
  </si>
  <si>
    <t>To Depreciation on Furniture</t>
  </si>
  <si>
    <t xml:space="preserve">To Depreciation on Building </t>
  </si>
  <si>
    <t>To Depreciation on Computer</t>
  </si>
  <si>
    <t xml:space="preserve">To Net Profit </t>
  </si>
  <si>
    <t>Wages Account</t>
  </si>
  <si>
    <t>Purchase Return Account</t>
  </si>
  <si>
    <t>By Royal Suppliers A/C</t>
  </si>
  <si>
    <t>Sales Return Account</t>
  </si>
  <si>
    <t>Computer Account</t>
  </si>
  <si>
    <t>Balance Sheet as on 30th April 2026</t>
  </si>
  <si>
    <t>Liabilities</t>
  </si>
  <si>
    <t>Assets</t>
  </si>
  <si>
    <t>Salary Account</t>
  </si>
  <si>
    <t>Capital</t>
  </si>
  <si>
    <t>Current Assets :</t>
  </si>
  <si>
    <r>
      <rPr>
        <rFont val="Calibri"/>
        <b/>
        <color rgb="FF000000"/>
        <sz val="11.0"/>
      </rPr>
      <t xml:space="preserve">Add : </t>
    </r>
    <r>
      <rPr>
        <rFont val="Calibri"/>
        <b val="0"/>
        <color rgb="FF000000"/>
        <sz val="11.0"/>
      </rPr>
      <t>Net Profit</t>
    </r>
  </si>
  <si>
    <t xml:space="preserve">Cash in Hand </t>
  </si>
  <si>
    <r>
      <rPr>
        <rFont val="Calibri"/>
        <b/>
        <color rgb="FF000000"/>
        <sz val="11.0"/>
      </rPr>
      <t>Less :</t>
    </r>
    <r>
      <rPr>
        <rFont val="Calibri"/>
        <b val="0"/>
        <color rgb="FF000000"/>
        <sz val="11.0"/>
      </rPr>
      <t xml:space="preserve"> Drawings</t>
    </r>
  </si>
  <si>
    <t xml:space="preserve">Arjun Traders </t>
  </si>
  <si>
    <t>Non - Current Liabilites :</t>
  </si>
  <si>
    <t xml:space="preserve">Meera Stores </t>
  </si>
  <si>
    <t>Prepaid Insurance</t>
  </si>
  <si>
    <t>Discount Allowed Account</t>
  </si>
  <si>
    <t>Current Liabilites :</t>
  </si>
  <si>
    <t>Closing Stock</t>
  </si>
  <si>
    <t xml:space="preserve">Royal Suppliers </t>
  </si>
  <si>
    <t>Fixed Assets :</t>
  </si>
  <si>
    <t>Metro Distributors</t>
  </si>
  <si>
    <t>Computer</t>
  </si>
  <si>
    <t>Outstanding Salary</t>
  </si>
  <si>
    <r>
      <rPr>
        <rFont val="Calibri"/>
        <b/>
        <color rgb="FF000000"/>
        <sz val="11.0"/>
      </rPr>
      <t xml:space="preserve">Less : </t>
    </r>
    <r>
      <rPr>
        <rFont val="Calibri"/>
        <b val="0"/>
        <color rgb="FF000000"/>
        <sz val="11.0"/>
      </rPr>
      <t>Depreciation</t>
    </r>
  </si>
  <si>
    <t>Accrued Interest on Bank Loan</t>
  </si>
  <si>
    <t>Discount Received Account</t>
  </si>
  <si>
    <r>
      <rPr>
        <rFont val="Calibri"/>
        <b/>
        <color rgb="FF000000"/>
        <sz val="11.0"/>
      </rPr>
      <t xml:space="preserve">Less : </t>
    </r>
    <r>
      <rPr>
        <rFont val="Calibri"/>
        <b val="0"/>
        <color rgb="FF000000"/>
        <sz val="11.0"/>
      </rPr>
      <t>Depreciation</t>
    </r>
  </si>
  <si>
    <r>
      <rPr>
        <rFont val="Calibri"/>
        <b/>
        <color rgb="FF000000"/>
        <sz val="11.0"/>
      </rPr>
      <t xml:space="preserve">Less : </t>
    </r>
    <r>
      <rPr>
        <rFont val="Calibri"/>
        <b val="0"/>
        <color rgb="FF000000"/>
        <sz val="11.0"/>
      </rPr>
      <t>Depreciation</t>
    </r>
  </si>
  <si>
    <t>Buildings</t>
  </si>
  <si>
    <r>
      <rPr>
        <rFont val="Calibri"/>
        <b/>
        <color rgb="FF000000"/>
        <sz val="11.0"/>
      </rPr>
      <t xml:space="preserve">Less : </t>
    </r>
    <r>
      <rPr>
        <rFont val="Calibri"/>
        <b val="0"/>
        <color rgb="FF000000"/>
        <sz val="11.0"/>
      </rPr>
      <t>Depreciation</t>
    </r>
  </si>
  <si>
    <t>Rent Account</t>
  </si>
  <si>
    <t>Ratio Analysis</t>
  </si>
  <si>
    <t>Metro Distributors Account</t>
  </si>
  <si>
    <t xml:space="preserve">Interpretation </t>
  </si>
  <si>
    <t>(Complete Ratio Analysis whichever is applicable)</t>
  </si>
  <si>
    <t>Meera Stores Account</t>
  </si>
  <si>
    <t>1. Current Ratio</t>
  </si>
  <si>
    <t>Current Assets / Current Liabilities</t>
  </si>
  <si>
    <t>Ideal ratio is 2:1</t>
  </si>
  <si>
    <t>Electricity Charges Account</t>
  </si>
  <si>
    <t>Current Assets</t>
  </si>
  <si>
    <t>The firm has ₹ 2.4 of current assets for every ₹1 of Current Liabilities.</t>
  </si>
  <si>
    <t>Current Liabilities</t>
  </si>
  <si>
    <t>This indicates that the firm can easily meet its short-term obligations.</t>
  </si>
  <si>
    <t>Commission Received Account</t>
  </si>
  <si>
    <t>A very high current ratio may mean that some current assets are not being used efficiently.</t>
  </si>
  <si>
    <t>Drawings Account</t>
  </si>
  <si>
    <t>2. Quick Ratio</t>
  </si>
  <si>
    <t>(Current Assets - Inventory - Prepaid Expenses) / Current Liabilities</t>
  </si>
  <si>
    <t>Insurance Premium Account</t>
  </si>
  <si>
    <t>Ideal ratio is 1:1</t>
  </si>
  <si>
    <t>Quick Assets</t>
  </si>
  <si>
    <t>The firm has ₹ 1.7 of Liquid assets for every ₹ 1 of Current Liabilities.</t>
  </si>
  <si>
    <t>This indicates that the firm can comfortably meet its immediate liabilities.</t>
  </si>
  <si>
    <t>Carriage Outwards Account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</si>
  <si>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</si>
  <si>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</si>
  <si>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</si>
  <si>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</si>
  <si>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The firm has ₹ 1.1 of cash and cash equivalents for every ₹1 of current liabilities.</t>
  </si>
  <si>
    <t>Cash and Cash Equivalents</t>
  </si>
  <si>
    <t>Comfortably</t>
  </si>
  <si>
    <t>This indicates that the firm has enough cash to meet its immediate obligations.</t>
  </si>
  <si>
    <t>Interest Received Account</t>
  </si>
  <si>
    <t>A very high cash ratio may indicate that excess cash is not being used efficiently.</t>
  </si>
  <si>
    <t>4. Debt-to-Equity Ratio</t>
  </si>
  <si>
    <t>Advertisement Expenses Account</t>
  </si>
  <si>
    <t>Total Debt / Shareholders' Equity</t>
  </si>
  <si>
    <t>Total Debt</t>
  </si>
  <si>
    <t>The firm has ₹ 0.36 of debt for every ₹ 1 of shareholders equity.</t>
  </si>
  <si>
    <t>Shareholders' Equity</t>
  </si>
  <si>
    <t>This indicates a very low level of financial leverage and a strong equity base.</t>
  </si>
  <si>
    <t>Miscellaneous Expenses Account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</si>
  <si>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</si>
  <si>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</si>
  <si>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</si>
  <si>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</si>
  <si>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0.26 of debt for every ₹ 1 invested in total assets.</t>
  </si>
  <si>
    <t>The firm finances 26% of its assets through debt.</t>
  </si>
  <si>
    <t>Total Assets</t>
  </si>
  <si>
    <t>Indicates strong financial stability and a low level of financial risk.</t>
  </si>
  <si>
    <t>Debt-to-Assets Ratio</t>
  </si>
  <si>
    <t>Furniture Account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</si>
  <si>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</si>
  <si>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</si>
  <si>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</si>
  <si>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</si>
  <si>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</si>
  <si>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The firm generates only ₹ 0.34 of net sales for every ₹ 1 invested in total assets.</t>
  </si>
  <si>
    <t>Bank Loan Interest Account</t>
  </si>
  <si>
    <t>This indicates the business generates sales equal to 34% of its total assets.</t>
  </si>
  <si>
    <t>Assets Turnover Ratio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</si>
  <si>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</si>
  <si>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</si>
  <si>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</si>
  <si>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</si>
  <si>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1.64 of net sales for every ₹ 1 of working capital.</t>
  </si>
  <si>
    <t>Working Capital</t>
  </si>
  <si>
    <t>This indicates the business generates sales equal to 164% of its working capital.</t>
  </si>
  <si>
    <t>Working Capital turnover Ratio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</si>
  <si>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</si>
  <si>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</si>
  <si>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</si>
  <si>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</si>
  <si>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</si>
  <si>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The firm turns over its inventory ₹ 2.4 times during the Period. This indicates slow Inventory</t>
  </si>
  <si>
    <t>Average inventory</t>
  </si>
  <si>
    <t>This indicates that inventory is moving relatively slowly.</t>
  </si>
  <si>
    <t>Slow inventory movement may increase storage costs and the risk of old stock.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</si>
</sst>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"/>
  </numFmts>
  <fonts count="6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  <font/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36C09"/>
        <bgColor rgb="FFE36C09"/>
      </patternFill>
    </fill>
    <fill>
      <patternFill patternType="solid">
        <fgColor rgb="FFFABF8F"/>
        <bgColor rgb="FFFABF8F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1" fillId="2" fontId="3" numFmtId="0" xfId="0" applyBorder="1" applyFill="1" applyFont="1"/>
    <xf borderId="1" fillId="3" fontId="1" numFmtId="0" xfId="0" applyAlignment="1" applyBorder="1" applyFill="1" applyFont="1">
      <alignment horizontal="center"/>
    </xf>
    <xf borderId="1" fillId="3" fontId="1" numFmtId="164" xfId="0" applyAlignment="1" applyBorder="1" applyFill="1" applyFont="1" applyNumberFormat="1">
      <alignment horizontal="right"/>
    </xf>
    <xf borderId="0" fillId="0" fontId="3" numFmtId="0" xfId="0" applyFont="1"/>
    <xf borderId="1" fillId="3" fontId="1" numFmtId="0" xfId="0" applyBorder="1" applyFill="1" applyFont="1"/>
    <xf borderId="1" fillId="3" fontId="1" numFmtId="0" xfId="0" applyAlignment="1" applyBorder="1" applyFill="1" applyFont="1">
      <alignment horizontal="left"/>
    </xf>
    <xf borderId="1" fillId="3" fontId="1" numFmtId="3" xfId="0" applyBorder="1" applyFill="1" applyFont="1" applyNumberFormat="1"/>
    <xf borderId="0" fillId="0" fontId="3" numFmtId="0" xfId="0" applyAlignment="1" applyFont="1">
      <alignment horizontal="right"/>
    </xf>
    <xf borderId="1" fillId="3" fontId="1" numFmtId="3" xfId="0" applyAlignment="1" applyBorder="1" applyFill="1" applyFont="1" applyNumberFormat="1">
      <alignment horizontal="right"/>
    </xf>
    <xf borderId="1" fillId="3" fontId="1" numFmtId="0" xfId="0" applyAlignment="1" applyBorder="1" applyFill="1" applyFont="1">
      <alignment horizontal="right"/>
    </xf>
    <xf borderId="0" fillId="0" fontId="3" numFmtId="0" xfId="0" applyAlignment="1" applyFont="1">
      <alignment horizontal="left"/>
    </xf>
    <xf borderId="2" fillId="0" fontId="1" numFmtId="0" xfId="0" applyBorder="1" applyFont="1"/>
    <xf borderId="3" fillId="0" fontId="4" numFmtId="0" xfId="0" applyBorder="1" applyFont="1"/>
    <xf borderId="1" fillId="0" fontId="1" numFmtId="0" xfId="0" applyBorder="1" applyFont="1"/>
    <xf borderId="1" fillId="3" fontId="1" numFmtId="3" xfId="0" applyAlignment="1" applyBorder="1" applyFill="1" applyFont="1" applyNumberFormat="1">
      <alignment shrinkToFit="0" vertical="center" wrapText="1"/>
    </xf>
    <xf borderId="1" fillId="0" fontId="1" numFmtId="3" xfId="0" applyBorder="1" applyFont="1" applyNumberFormat="1"/>
    <xf borderId="1" fillId="3" fontId="1" numFmtId="164" xfId="0" applyAlignment="1" applyBorder="1" applyFill="1" applyFont="1" applyNumberFormat="1">
      <alignment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2" fillId="3" fontId="3" numFmtId="0" xfId="0" applyAlignment="1" applyBorder="1" applyFill="1" applyFont="1">
      <alignment horizontal="center"/>
    </xf>
    <xf borderId="1" fillId="3" fontId="3" numFmtId="3" xfId="0" applyBorder="1" applyFill="1" applyFont="1" applyNumberFormat="1"/>
    <xf borderId="0" fillId="0" fontId="1" numFmtId="15" xfId="0" applyFont="1" applyNumberFormat="1"/>
    <xf borderId="0" fillId="0" fontId="1" numFmtId="3" xfId="0" applyFont="1" applyNumberFormat="1"/>
    <xf borderId="1" fillId="3" fontId="3" numFmtId="0" xfId="0" applyBorder="1" applyFill="1" applyFont="1"/>
    <xf borderId="4" fillId="3" fontId="1" numFmtId="3" xfId="0" applyBorder="1" applyFill="1" applyFont="1" applyNumberFormat="1"/>
    <xf borderId="5" fillId="3" fontId="1" numFmtId="0" xfId="0" applyBorder="1" applyFill="1" applyFont="1"/>
    <xf borderId="0" fillId="0" fontId="1" numFmtId="0" xfId="0" applyAlignment="1" applyFont="1">
      <alignment horizontal="right"/>
    </xf>
    <xf borderId="4" fillId="3" fontId="1" numFmtId="0" xfId="0" applyBorder="1" applyFill="1" applyFont="1"/>
    <xf borderId="5" fillId="3" fontId="1" numFmtId="3" xfId="0" applyBorder="1" applyFill="1" applyFont="1" applyNumberFormat="1"/>
    <xf borderId="6" fillId="4" fontId="3" numFmtId="0" xfId="0" applyAlignment="1" applyBorder="1" applyFill="1" applyFont="1">
      <alignment horizontal="center" shrinkToFit="0" wrapText="1"/>
    </xf>
    <xf borderId="7" fillId="0" fontId="4" numFmtId="0" xfId="0" applyBorder="1" applyFont="1"/>
    <xf borderId="8" fillId="4" fontId="3" numFmtId="0" xfId="0" applyAlignment="1" applyBorder="1" applyFill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wrapText="1"/>
    </xf>
    <xf borderId="10" fillId="0" fontId="4" numFmtId="0" xfId="0" applyBorder="1" applyFont="1"/>
    <xf borderId="11" fillId="0" fontId="4" numFmtId="0" xfId="0" applyBorder="1" applyFont="1"/>
    <xf borderId="12" fillId="5" fontId="3" numFmtId="0" xfId="0" applyAlignment="1" applyBorder="1" applyFill="1" applyFont="1">
      <alignment shrinkToFit="0" wrapText="1"/>
    </xf>
    <xf borderId="13" fillId="5" fontId="1" numFmtId="0" xfId="0" applyAlignment="1" applyBorder="1" applyFill="1" applyFont="1">
      <alignment shrinkToFit="0" wrapText="1"/>
    </xf>
    <xf borderId="12" fillId="5" fontId="1" numFmtId="0" xfId="0" applyAlignment="1" applyBorder="1" applyFill="1" applyFont="1">
      <alignment shrinkToFit="0" wrapText="1"/>
    </xf>
    <xf borderId="14" fillId="5" fontId="1" numFmtId="0" xfId="0" applyAlignment="1" applyBorder="1" applyFill="1" applyFont="1">
      <alignment shrinkToFit="0" wrapText="1"/>
    </xf>
    <xf borderId="12" fillId="5" fontId="1" numFmtId="0" xfId="0" applyAlignment="1" applyBorder="1" applyFill="1" applyFont="1">
      <alignment horizontal="right" shrinkToFit="0" wrapText="1"/>
    </xf>
    <xf borderId="12" fillId="5" fontId="1" numFmtId="3" xfId="0" applyAlignment="1" applyBorder="1" applyFill="1" applyFont="1" applyNumberFormat="1">
      <alignment horizontal="right" shrinkToFit="0" wrapText="1"/>
    </xf>
    <xf borderId="14" fillId="5" fontId="1" numFmtId="0" xfId="0" applyBorder="1" applyFill="1" applyFont="1"/>
    <xf borderId="12" fillId="5" fontId="3" numFmtId="165" xfId="0" applyAlignment="1" applyBorder="1" applyFill="1" applyFont="1" applyNumberFormat="1">
      <alignment horizontal="right" shrinkToFit="0" wrapText="1"/>
    </xf>
    <xf borderId="13" fillId="5" fontId="1" numFmtId="0" xfId="0" applyAlignment="1" applyBorder="1" applyFill="1" applyFont="1">
      <alignment horizontal="right" shrinkToFit="0" wrapText="1"/>
    </xf>
    <xf borderId="1" fillId="5" fontId="1" numFmtId="0" xfId="0" applyAlignment="1" applyBorder="1" applyFill="1" applyFont="1">
      <alignment horizontal="center" shrinkToFit="0" wrapText="1"/>
    </xf>
    <xf borderId="1" fillId="5" fontId="1" numFmtId="0" xfId="0" applyBorder="1" applyFill="1" applyFont="1"/>
    <xf borderId="13" fillId="5" fontId="3" numFmtId="0" xfId="0" applyAlignment="1" applyBorder="1" applyFill="1" applyFont="1">
      <alignment shrinkToFit="0" wrapText="1"/>
    </xf>
    <xf borderId="12" fillId="5" fontId="3" numFmtId="0" xfId="0" applyAlignment="1" applyBorder="1" applyFill="1" applyFont="1">
      <alignment vertical="center"/>
    </xf>
    <xf borderId="5" fillId="5" fontId="1" numFmtId="0" xfId="0" applyAlignment="1" applyBorder="1" applyFill="1" applyFont="1">
      <alignment horizontal="right" shrinkToFit="0" wrapText="1"/>
    </xf>
    <xf borderId="14" fillId="5" fontId="1" numFmtId="0" xfId="0" applyAlignment="1" applyBorder="1" applyFill="1" applyFont="1">
      <alignment vertical="center"/>
    </xf>
    <xf borderId="5" fillId="5" fontId="3" numFmtId="165" xfId="0" applyAlignment="1" applyBorder="1" applyFill="1" applyFont="1" applyNumberFormat="1">
      <alignment horizontal="right" shrinkToFit="0" wrapText="1"/>
    </xf>
    <xf borderId="1" fillId="5" fontId="1" numFmtId="0" xfId="0" applyAlignment="1" applyBorder="1" applyFill="1" applyFont="1">
      <alignment horizontal="right" shrinkToFit="0" wrapText="1"/>
    </xf>
    <xf borderId="1" fillId="5" fontId="1" numFmtId="0" xfId="0" applyAlignment="1" applyBorder="1" applyFill="1" applyFont="1">
      <alignment shrinkToFit="0" wrapText="1"/>
    </xf>
    <xf borderId="12" fillId="5" fontId="3" numFmtId="2" xfId="0" applyAlignment="1" applyBorder="1" applyFill="1" applyFont="1" applyNumberFormat="1">
      <alignment horizontal="right" shrinkToFit="0" wrapText="1"/>
    </xf>
    <xf borderId="5" fillId="5" fontId="3" numFmtId="2" xfId="0" applyAlignment="1" applyBorder="1" applyFill="1" applyFont="1" applyNumberFormat="1">
      <alignment horizontal="right" shrinkToFit="0" wrapText="1"/>
    </xf>
    <xf borderId="12" fillId="5" fontId="1" numFmtId="0" xfId="0" applyAlignment="1" applyBorder="1" applyFill="1" applyFont="1">
      <alignment horizontal="center" shrinkToFit="0" wrapText="1"/>
    </xf>
    <xf borderId="5" fillId="5" fontId="1" numFmtId="0" xfId="0" applyAlignment="1" applyBorder="1" applyFill="1" applyFont="1">
      <alignment shrinkToFit="0" wrapText="1"/>
    </xf>
    <xf borderId="12" fillId="5" fontId="3" numFmtId="0" xfId="0" applyBorder="1" applyFill="1" applyFont="1"/>
    <xf borderId="12" fillId="5" fontId="1" numFmtId="0" xfId="0" applyBorder="1" applyFill="1" applyFont="1"/>
    <xf borderId="12" fillId="5" fontId="1" numFmtId="0" xfId="0" applyAlignment="1" applyBorder="1" applyFill="1" applyFont="1">
      <alignment horizontal="right"/>
    </xf>
    <xf borderId="12" fillId="5" fontId="1" numFmtId="3" xfId="0" applyBorder="1" applyFill="1" applyFont="1" applyNumberFormat="1"/>
    <xf borderId="14" fillId="5" fontId="1" numFmtId="3" xfId="0" applyBorder="1" applyFill="1" applyFont="1" applyNumberFormat="1"/>
    <xf borderId="5" fillId="5" fontId="1" numFmtId="0" xfId="0" applyAlignment="1" applyBorder="1" applyFill="1" applyFont="1">
      <alignment horizontal="right"/>
    </xf>
    <xf borderId="15" fillId="5" fontId="3" numFmtId="165" xfId="0" applyBorder="1" applyFill="1" applyFont="1" applyNumberFormat="1"/>
    <xf borderId="15" fillId="5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1" t="s">
        <v>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1" t="s">
        <v>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1" t="s">
        <v>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A6" s="1" t="s">
        <v>12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1" t="s">
        <v>15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A8" s="1" t="s">
        <v>16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>
      <c r="A9" s="1" t="s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" t="s">
        <v>18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>
      <c r="A12" s="1" t="s">
        <v>20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A13" s="1" t="s">
        <v>22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>
      <c r="A14" s="1" t="s">
        <v>24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A15" s="1" t="s">
        <v>26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A16" s="1" t="s">
        <v>30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 t="s">
        <v>32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 t="s">
        <v>37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>
      <c r="A19" s="1" t="s">
        <v>42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ht="15.75" customHeight="1">
      <c r="A21" s="1" t="s">
        <v>49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5.75" customHeight="1">
      <c r="A22" s="16" t="s">
        <v>7</v>
      </c>
      <c r="B22" s="17"/>
      <c r="C22" s="18" t="s">
        <v>60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15.75" customHeight="1">
      <c r="A23" s="16" t="s">
        <v>68</v>
      </c>
      <c r="B23" s="17"/>
      <c r="C23" s="20">
        <v>55000.0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15.75" customHeight="1">
      <c r="A24" s="16" t="s">
        <v>75</v>
      </c>
      <c r="B24" s="17"/>
      <c r="C24" s="20">
        <v>150000.0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ht="15.75" customHeight="1">
      <c r="A25" s="16" t="s">
        <v>82</v>
      </c>
      <c r="B25" s="17"/>
      <c r="C25" s="20">
        <v>120000.0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t="15.75" customHeight="1">
      <c r="A26" s="16" t="s">
        <v>88</v>
      </c>
      <c r="B26" s="17"/>
      <c r="C26" s="20">
        <v>80000.0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15.75" customHeight="1">
      <c r="A27" s="16" t="s">
        <v>91</v>
      </c>
      <c r="B27" s="17"/>
      <c r="C27" s="20">
        <v>250000.0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15.75" customHeight="1">
      <c r="A28" s="16" t="s">
        <v>94</v>
      </c>
      <c r="B28" s="17"/>
      <c r="C28" s="20">
        <v>400000.0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5.75" customHeight="1">
      <c r="A29" s="16" t="s">
        <v>96</v>
      </c>
      <c r="B29" s="17"/>
      <c r="C29" s="20">
        <v>85000.0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5.75" customHeight="1">
      <c r="A30" s="16" t="s">
        <v>99</v>
      </c>
      <c r="B30" s="17"/>
      <c r="C30" s="20">
        <v>60000.0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15.75" customHeight="1">
      <c r="A31" s="16" t="s">
        <v>101</v>
      </c>
      <c r="B31" s="17"/>
      <c r="C31" s="20">
        <v>90000.0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15.75" customHeight="1">
      <c r="A32" s="16" t="s">
        <v>104</v>
      </c>
      <c r="B32" s="17"/>
      <c r="C32" s="20">
        <v>55000.0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5.75" customHeight="1">
      <c r="A33" s="16" t="s">
        <v>108</v>
      </c>
      <c r="B33" s="17"/>
      <c r="C33" s="20">
        <v>150000.0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5.75" customHeight="1">
      <c r="A36" s="1" t="s">
        <v>115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ht="15.75" customHeight="1">
      <c r="A37" s="1" t="s">
        <v>6</v>
      </c>
      <c r="B37" s="1" t="s">
        <v>118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ht="15.75" customHeight="1">
      <c r="A38" s="25">
        <v>46114.0</v>
      </c>
      <c r="B38" s="1" t="s">
        <v>124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5.75" customHeight="1">
      <c r="A39" s="25">
        <v>46115.0</v>
      </c>
      <c r="B39" s="1" t="s">
        <v>129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5.75" customHeight="1">
      <c r="A40" s="25">
        <v>46116.0</v>
      </c>
      <c r="B40" s="1" t="s">
        <v>131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15.75" customHeight="1">
      <c r="A41" s="25">
        <v>46117.0</v>
      </c>
      <c r="B41" s="1" t="s">
        <v>137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5.75" customHeight="1">
      <c r="A42" s="25">
        <v>46118.0</v>
      </c>
      <c r="B42" s="1" t="s">
        <v>145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5.75" customHeight="1">
      <c r="A43" s="25">
        <v>46119.0</v>
      </c>
      <c r="B43" s="1" t="s">
        <v>150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5.75" customHeight="1">
      <c r="A44" s="25">
        <v>46120.0</v>
      </c>
      <c r="B44" s="1" t="s">
        <v>153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5.75" customHeight="1">
      <c r="A45" s="25">
        <v>46121.0</v>
      </c>
      <c r="B45" s="1" t="s">
        <v>159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5.75" customHeight="1">
      <c r="A46" s="25">
        <v>46122.0</v>
      </c>
      <c r="B46" s="1" t="s">
        <v>164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5.75" customHeight="1">
      <c r="A47" s="25">
        <v>46123.0</v>
      </c>
      <c r="B47" s="1" t="s">
        <v>167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5.75" customHeight="1">
      <c r="A48" s="25">
        <v>46124.0</v>
      </c>
      <c r="B48" s="1" t="s">
        <v>171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5.75" customHeight="1">
      <c r="A49" s="25">
        <v>46125.0</v>
      </c>
      <c r="B49" s="1" t="s">
        <v>174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5.75" customHeight="1">
      <c r="A50" s="25">
        <v>46126.0</v>
      </c>
      <c r="B50" s="1" t="s">
        <v>181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5.75" customHeight="1">
      <c r="A51" s="25">
        <v>46127.0</v>
      </c>
      <c r="B51" s="1" t="s">
        <v>184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5.75" customHeight="1">
      <c r="A52" s="25">
        <v>46128.0</v>
      </c>
      <c r="B52" s="1" t="s">
        <v>188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5.75" customHeight="1">
      <c r="A53" s="25">
        <v>46129.0</v>
      </c>
      <c r="B53" s="1" t="s">
        <v>192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25">
        <v>46130.0</v>
      </c>
      <c r="B54" s="1" t="s">
        <v>197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5.75" customHeight="1">
      <c r="A55" s="25">
        <v>46131.0</v>
      </c>
      <c r="B55" s="1" t="s">
        <v>199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25">
        <v>46132.0</v>
      </c>
      <c r="B56" s="1" t="s">
        <v>202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5.75" customHeight="1">
      <c r="A57" s="25">
        <v>46133.0</v>
      </c>
      <c r="B57" s="1" t="s">
        <v>204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5.75" customHeight="1">
      <c r="A58" s="25">
        <v>46134.0</v>
      </c>
      <c r="B58" s="1" t="s">
        <v>205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5.75" customHeight="1">
      <c r="A59" s="25">
        <v>46135.0</v>
      </c>
      <c r="B59" s="1" t="s">
        <v>207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5.75" customHeight="1">
      <c r="A60" s="25">
        <v>46136.0</v>
      </c>
      <c r="B60" s="1" t="s">
        <v>209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25">
        <v>46137.0</v>
      </c>
      <c r="B61" s="1" t="s">
        <v>211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5.75" customHeight="1">
      <c r="A62" s="25">
        <v>46138.0</v>
      </c>
      <c r="B62" s="1" t="s">
        <v>213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5.75" customHeight="1">
      <c r="A63" s="25">
        <v>46139.0</v>
      </c>
      <c r="B63" s="1" t="s">
        <v>216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5.75" customHeight="1">
      <c r="A64" s="25">
        <v>46140.0</v>
      </c>
      <c r="B64" s="1" t="s">
        <v>217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5.75" customHeight="1">
      <c r="A65" s="25">
        <v>46141.0</v>
      </c>
      <c r="B65" s="1" t="s">
        <v>219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5.75" customHeight="1">
      <c r="A66" s="25">
        <v>46142.0</v>
      </c>
      <c r="B66" s="1" t="s">
        <v>221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5.75" customHeight="1">
      <c r="A69" s="1" t="s">
        <v>231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5.75" customHeight="1">
      <c r="A71" s="1" t="s">
        <v>238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5.75" customHeight="1">
      <c r="A72" s="1" t="s">
        <v>240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5.75" customHeight="1">
      <c r="A73" s="1" t="s">
        <v>242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5.75" customHeight="1">
      <c r="A74" s="1" t="s">
        <v>243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5.75" customHeight="1">
      <c r="A75" s="1" t="s">
        <v>244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" t="s">
        <v>245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" t="s">
        <v>246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" t="s">
        <v>248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28:B2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72.57"/>
    <col customWidth="1" min="3" max="3" width="4.29"/>
    <col customWidth="1" min="4" max="4" width="4.43"/>
    <col customWidth="1" min="5" max="5" width="17.57"/>
    <col customWidth="1" min="6" max="6" width="17.71"/>
    <col customWidth="1" min="7" max="26" width="8.71"/>
  </cols>
  <sheetData>
    <row r="1">
      <c r="A1" s="2" t="s">
        <v>2</v>
      </c>
    </row>
    <row r="2">
      <c r="A2" s="3" t="s">
        <v>6</v>
      </c>
      <c r="B2" s="3" t="s">
        <v>10</v>
      </c>
      <c r="C2" s="3"/>
      <c r="D2" s="5" t="s">
        <v>14</v>
      </c>
      <c r="E2" s="3" t="s">
        <v>11</v>
      </c>
      <c r="F2" s="3" t="s">
        <v>13</v>
      </c>
    </row>
    <row r="3">
      <c r="A3" s="7">
        <v>46113.0</v>
      </c>
      <c r="B3" s="10" t="s">
        <v>21</v>
      </c>
      <c r="C3" s="10" t="s">
        <v>23</v>
      </c>
      <c r="D3" s="9"/>
      <c r="E3" s="13">
        <v>55000.0</v>
      </c>
      <c r="F3" s="14"/>
    </row>
    <row r="4">
      <c r="A4" s="6"/>
      <c r="B4" s="10" t="s">
        <v>35</v>
      </c>
      <c r="C4" s="10" t="s">
        <v>23</v>
      </c>
      <c r="D4" s="9"/>
      <c r="E4" s="13">
        <v>150000.0</v>
      </c>
      <c r="F4" s="14"/>
    </row>
    <row r="5">
      <c r="A5" s="6"/>
      <c r="B5" s="10" t="s">
        <v>39</v>
      </c>
      <c r="C5" s="10" t="s">
        <v>23</v>
      </c>
      <c r="D5" s="9"/>
      <c r="E5" s="13">
        <v>120000.0</v>
      </c>
      <c r="F5" s="14"/>
    </row>
    <row r="6">
      <c r="A6" s="6"/>
      <c r="B6" s="10" t="s">
        <v>44</v>
      </c>
      <c r="C6" s="10" t="s">
        <v>23</v>
      </c>
      <c r="D6" s="9"/>
      <c r="E6" s="13">
        <v>80000.0</v>
      </c>
      <c r="F6" s="14"/>
    </row>
    <row r="7">
      <c r="A7" s="6"/>
      <c r="B7" s="10" t="s">
        <v>48</v>
      </c>
      <c r="C7" s="10" t="s">
        <v>23</v>
      </c>
      <c r="D7" s="9"/>
      <c r="E7" s="13">
        <v>400000.0</v>
      </c>
      <c r="F7" s="14"/>
    </row>
    <row r="8">
      <c r="A8" s="6"/>
      <c r="B8" s="10" t="s">
        <v>53</v>
      </c>
      <c r="C8" s="10" t="s">
        <v>23</v>
      </c>
      <c r="D8" s="9"/>
      <c r="E8" s="13">
        <v>250000.0</v>
      </c>
      <c r="F8" s="14"/>
    </row>
    <row r="9">
      <c r="A9" s="6"/>
      <c r="B9" s="10" t="s">
        <v>61</v>
      </c>
      <c r="C9" s="10" t="s">
        <v>23</v>
      </c>
      <c r="D9" s="9"/>
      <c r="E9" s="13">
        <v>85000.0</v>
      </c>
      <c r="F9" s="14"/>
    </row>
    <row r="10">
      <c r="A10" s="6"/>
      <c r="B10" s="10" t="s">
        <v>64</v>
      </c>
      <c r="C10" s="10" t="s">
        <v>23</v>
      </c>
      <c r="D10" s="9"/>
      <c r="E10" s="13">
        <v>60000.0</v>
      </c>
      <c r="F10" s="14"/>
    </row>
    <row r="11">
      <c r="A11" s="6"/>
      <c r="B11" s="10" t="s">
        <v>67</v>
      </c>
      <c r="C11" s="10"/>
      <c r="D11" s="9"/>
      <c r="E11" s="14"/>
      <c r="F11" s="13">
        <v>905000.0</v>
      </c>
    </row>
    <row r="12">
      <c r="A12" s="6"/>
      <c r="B12" s="10" t="s">
        <v>76</v>
      </c>
      <c r="C12" s="10"/>
      <c r="D12" s="9"/>
      <c r="E12" s="14"/>
      <c r="F12" s="13">
        <v>90000.0</v>
      </c>
    </row>
    <row r="13">
      <c r="A13" s="6"/>
      <c r="B13" s="10" t="s">
        <v>79</v>
      </c>
      <c r="C13" s="10"/>
      <c r="D13" s="9"/>
      <c r="E13" s="14"/>
      <c r="F13" s="13">
        <v>55000.0</v>
      </c>
    </row>
    <row r="14">
      <c r="A14" s="6"/>
      <c r="B14" s="10" t="s">
        <v>83</v>
      </c>
      <c r="C14" s="10"/>
      <c r="D14" s="9"/>
      <c r="E14" s="14"/>
      <c r="F14" s="13">
        <v>150000.0</v>
      </c>
    </row>
    <row r="15">
      <c r="A15" s="6"/>
      <c r="B15" s="10" t="s">
        <v>87</v>
      </c>
      <c r="C15" s="10"/>
      <c r="D15" s="9"/>
      <c r="E15" s="14"/>
      <c r="F15" s="14"/>
    </row>
    <row r="16">
      <c r="A16" s="21">
        <v>46114.0</v>
      </c>
      <c r="B16" s="22" t="s">
        <v>93</v>
      </c>
      <c r="C16" s="22" t="s">
        <v>23</v>
      </c>
      <c r="D16" s="9"/>
      <c r="E16" s="19">
        <v>140000.0</v>
      </c>
      <c r="F16" s="22"/>
    </row>
    <row r="17">
      <c r="A17" s="22"/>
      <c r="B17" s="22" t="s">
        <v>97</v>
      </c>
      <c r="C17" s="22"/>
      <c r="D17" s="9"/>
      <c r="E17" s="22"/>
      <c r="F17" s="19">
        <v>140000.0</v>
      </c>
    </row>
    <row r="18">
      <c r="A18" s="22"/>
      <c r="B18" s="22" t="s">
        <v>98</v>
      </c>
      <c r="C18" s="22"/>
      <c r="D18" s="9"/>
      <c r="E18" s="22"/>
      <c r="F18" s="22"/>
    </row>
    <row r="19">
      <c r="A19" s="21">
        <v>46115.0</v>
      </c>
      <c r="B19" s="22" t="s">
        <v>93</v>
      </c>
      <c r="C19" s="22" t="s">
        <v>23</v>
      </c>
      <c r="D19" s="9"/>
      <c r="E19" s="19">
        <v>50000.0</v>
      </c>
      <c r="F19" s="22"/>
    </row>
    <row r="20">
      <c r="A20" s="22"/>
      <c r="B20" s="22" t="s">
        <v>100</v>
      </c>
      <c r="C20" s="22"/>
      <c r="D20" s="9"/>
      <c r="E20" s="22"/>
      <c r="F20" s="19">
        <v>50000.0</v>
      </c>
    </row>
    <row r="21" ht="15.75" customHeight="1">
      <c r="A21" s="22"/>
      <c r="B21" s="22" t="s">
        <v>102</v>
      </c>
      <c r="C21" s="22"/>
      <c r="D21" s="9"/>
      <c r="E21" s="22"/>
      <c r="F21" s="22"/>
    </row>
    <row r="22" ht="15.75" customHeight="1">
      <c r="A22" s="21">
        <v>46116.0</v>
      </c>
      <c r="B22" s="22" t="s">
        <v>103</v>
      </c>
      <c r="C22" s="22" t="s">
        <v>23</v>
      </c>
      <c r="D22" s="9"/>
      <c r="E22" s="19">
        <v>210000.0</v>
      </c>
      <c r="F22" s="22"/>
    </row>
    <row r="23" ht="15.75" customHeight="1">
      <c r="A23" s="22"/>
      <c r="B23" s="22" t="s">
        <v>105</v>
      </c>
      <c r="C23" s="22"/>
      <c r="D23" s="9"/>
      <c r="E23" s="22"/>
      <c r="F23" s="19">
        <v>210000.0</v>
      </c>
    </row>
    <row r="24" ht="15.75" customHeight="1">
      <c r="A24" s="22"/>
      <c r="B24" s="22" t="s">
        <v>106</v>
      </c>
      <c r="C24" s="22"/>
      <c r="D24" s="9"/>
      <c r="E24" s="22"/>
      <c r="F24" s="22"/>
    </row>
    <row r="25" ht="15.75" customHeight="1">
      <c r="A25" s="21">
        <v>46117.0</v>
      </c>
      <c r="B25" s="22" t="s">
        <v>107</v>
      </c>
      <c r="C25" s="22" t="s">
        <v>23</v>
      </c>
      <c r="D25" s="9"/>
      <c r="E25" s="19">
        <v>90000.0</v>
      </c>
      <c r="F25" s="22"/>
    </row>
    <row r="26" ht="15.75" customHeight="1">
      <c r="A26" s="22"/>
      <c r="B26" s="22" t="s">
        <v>105</v>
      </c>
      <c r="C26" s="22"/>
      <c r="D26" s="9"/>
      <c r="E26" s="22"/>
      <c r="F26" s="19">
        <v>90000.0</v>
      </c>
    </row>
    <row r="27" ht="15.75" customHeight="1">
      <c r="A27" s="22"/>
      <c r="B27" s="22" t="s">
        <v>109</v>
      </c>
      <c r="C27" s="22"/>
      <c r="D27" s="9"/>
      <c r="E27" s="22"/>
      <c r="F27" s="22"/>
    </row>
    <row r="28" ht="15.75" customHeight="1">
      <c r="A28" s="21">
        <v>46118.0</v>
      </c>
      <c r="B28" s="22" t="s">
        <v>110</v>
      </c>
      <c r="C28" s="22" t="s">
        <v>23</v>
      </c>
      <c r="D28" s="9"/>
      <c r="E28" s="19">
        <v>6000.0</v>
      </c>
      <c r="F28" s="22"/>
    </row>
    <row r="29" ht="15.75" customHeight="1">
      <c r="A29" s="22"/>
      <c r="B29" s="22" t="s">
        <v>100</v>
      </c>
      <c r="C29" s="22"/>
      <c r="D29" s="9"/>
      <c r="E29" s="22"/>
      <c r="F29" s="19">
        <v>6000.0</v>
      </c>
    </row>
    <row r="30" ht="15.75" customHeight="1">
      <c r="A30" s="22"/>
      <c r="B30" s="22" t="s">
        <v>111</v>
      </c>
      <c r="C30" s="22"/>
      <c r="D30" s="9"/>
      <c r="E30" s="22"/>
      <c r="F30" s="22"/>
    </row>
    <row r="31" ht="15.75" customHeight="1">
      <c r="A31" s="21">
        <v>46119.0</v>
      </c>
      <c r="B31" s="22" t="s">
        <v>112</v>
      </c>
      <c r="C31" s="22" t="s">
        <v>23</v>
      </c>
      <c r="D31" s="9"/>
      <c r="E31" s="19">
        <v>18000.0</v>
      </c>
      <c r="F31" s="22"/>
    </row>
    <row r="32" ht="15.75" customHeight="1">
      <c r="A32" s="22"/>
      <c r="B32" s="22" t="s">
        <v>100</v>
      </c>
      <c r="C32" s="22"/>
      <c r="D32" s="9"/>
      <c r="E32" s="22"/>
      <c r="F32" s="19">
        <v>18000.0</v>
      </c>
    </row>
    <row r="33" ht="15.75" customHeight="1">
      <c r="A33" s="22"/>
      <c r="B33" s="22" t="s">
        <v>113</v>
      </c>
      <c r="C33" s="22"/>
      <c r="D33" s="9"/>
      <c r="E33" s="22"/>
      <c r="F33" s="22"/>
    </row>
    <row r="34" ht="15.75" customHeight="1">
      <c r="A34" s="21">
        <v>46120.0</v>
      </c>
      <c r="B34" s="22" t="s">
        <v>114</v>
      </c>
      <c r="C34" s="22" t="s">
        <v>23</v>
      </c>
      <c r="D34" s="9"/>
      <c r="E34" s="19">
        <v>15000.0</v>
      </c>
      <c r="F34" s="22"/>
    </row>
    <row r="35" ht="15.75" customHeight="1">
      <c r="A35" s="22"/>
      <c r="B35" s="22" t="s">
        <v>116</v>
      </c>
      <c r="C35" s="22"/>
      <c r="D35" s="9"/>
      <c r="E35" s="22"/>
      <c r="F35" s="19">
        <v>15000.0</v>
      </c>
    </row>
    <row r="36" ht="15.75" customHeight="1">
      <c r="A36" s="22"/>
      <c r="B36" s="22" t="s">
        <v>117</v>
      </c>
      <c r="C36" s="22"/>
      <c r="D36" s="9"/>
      <c r="E36" s="22"/>
      <c r="F36" s="22"/>
    </row>
    <row r="37" ht="15.75" customHeight="1">
      <c r="A37" s="21">
        <v>46121.0</v>
      </c>
      <c r="B37" s="22" t="s">
        <v>121</v>
      </c>
      <c r="C37" s="22" t="s">
        <v>23</v>
      </c>
      <c r="D37" s="9"/>
      <c r="E37" s="19">
        <v>12000.0</v>
      </c>
      <c r="F37" s="22"/>
    </row>
    <row r="38" ht="15.75" customHeight="1">
      <c r="A38" s="22"/>
      <c r="B38" s="22" t="s">
        <v>122</v>
      </c>
      <c r="C38" s="22"/>
      <c r="D38" s="9"/>
      <c r="E38" s="22"/>
      <c r="F38" s="19">
        <v>12000.0</v>
      </c>
    </row>
    <row r="39" ht="15.75" customHeight="1">
      <c r="A39" s="22"/>
      <c r="B39" s="22" t="s">
        <v>123</v>
      </c>
      <c r="C39" s="22"/>
      <c r="D39" s="9"/>
      <c r="E39" s="22"/>
      <c r="F39" s="22"/>
    </row>
    <row r="40" ht="15.75" customHeight="1">
      <c r="A40" s="21">
        <v>46122.0</v>
      </c>
      <c r="B40" s="22" t="s">
        <v>125</v>
      </c>
      <c r="C40" s="22" t="s">
        <v>23</v>
      </c>
      <c r="D40" s="9"/>
      <c r="E40" s="19">
        <v>60000.0</v>
      </c>
      <c r="F40" s="22"/>
    </row>
    <row r="41" ht="15.75" customHeight="1">
      <c r="A41" s="22"/>
      <c r="B41" s="22" t="s">
        <v>127</v>
      </c>
      <c r="C41" s="22"/>
      <c r="D41" s="9"/>
      <c r="E41" s="22"/>
      <c r="F41" s="19">
        <v>60000.0</v>
      </c>
    </row>
    <row r="42" ht="15.75" customHeight="1">
      <c r="A42" s="22"/>
      <c r="B42" s="22" t="s">
        <v>128</v>
      </c>
      <c r="C42" s="22"/>
      <c r="D42" s="9"/>
      <c r="E42" s="22"/>
      <c r="F42" s="22"/>
    </row>
    <row r="43" ht="15.75" customHeight="1">
      <c r="A43" s="21">
        <v>46123.0</v>
      </c>
      <c r="B43" s="22" t="s">
        <v>130</v>
      </c>
      <c r="C43" s="22" t="s">
        <v>23</v>
      </c>
      <c r="D43" s="9"/>
      <c r="E43" s="19">
        <v>28000.0</v>
      </c>
      <c r="F43" s="22"/>
    </row>
    <row r="44" ht="15.75" customHeight="1">
      <c r="A44" s="22"/>
      <c r="B44" s="22" t="s">
        <v>100</v>
      </c>
      <c r="C44" s="22"/>
      <c r="D44" s="9"/>
      <c r="E44" s="22"/>
      <c r="F44" s="19">
        <v>28000.0</v>
      </c>
    </row>
    <row r="45" ht="15.75" customHeight="1">
      <c r="A45" s="22"/>
      <c r="B45" s="22" t="s">
        <v>133</v>
      </c>
      <c r="C45" s="22"/>
      <c r="D45" s="9"/>
      <c r="E45" s="22"/>
      <c r="F45" s="22"/>
    </row>
    <row r="46" ht="15.75" customHeight="1">
      <c r="A46" s="21">
        <v>46124.0</v>
      </c>
      <c r="B46" s="22" t="s">
        <v>107</v>
      </c>
      <c r="C46" s="22" t="s">
        <v>23</v>
      </c>
      <c r="D46" s="9"/>
      <c r="E46" s="19">
        <v>250000.0</v>
      </c>
      <c r="F46" s="22"/>
    </row>
    <row r="47" ht="15.75" customHeight="1">
      <c r="A47" s="22"/>
      <c r="B47" s="22" t="s">
        <v>139</v>
      </c>
      <c r="C47" s="22" t="s">
        <v>23</v>
      </c>
      <c r="D47" s="9"/>
      <c r="E47" s="19">
        <v>8000.0</v>
      </c>
      <c r="F47" s="22"/>
    </row>
    <row r="48" ht="15.75" customHeight="1">
      <c r="A48" s="22"/>
      <c r="B48" s="22" t="s">
        <v>122</v>
      </c>
      <c r="C48" s="22"/>
      <c r="D48" s="9"/>
      <c r="E48" s="22"/>
      <c r="F48" s="19">
        <v>258000.0</v>
      </c>
    </row>
    <row r="49" ht="15.75" customHeight="1">
      <c r="A49" s="22"/>
      <c r="B49" s="22" t="s">
        <v>144</v>
      </c>
      <c r="C49" s="22"/>
      <c r="D49" s="9"/>
      <c r="E49" s="22"/>
      <c r="F49" s="22"/>
    </row>
    <row r="50" ht="15.75" customHeight="1">
      <c r="A50" s="21">
        <v>46125.0</v>
      </c>
      <c r="B50" s="22" t="s">
        <v>114</v>
      </c>
      <c r="C50" s="22" t="s">
        <v>23</v>
      </c>
      <c r="D50" s="9"/>
      <c r="E50" s="19">
        <v>190000.0</v>
      </c>
      <c r="F50" s="22"/>
    </row>
    <row r="51" ht="15.75" customHeight="1">
      <c r="A51" s="22"/>
      <c r="B51" s="22" t="s">
        <v>127</v>
      </c>
      <c r="C51" s="22"/>
      <c r="D51" s="9"/>
      <c r="E51" s="22"/>
      <c r="F51" s="19">
        <v>180000.0</v>
      </c>
    </row>
    <row r="52" ht="15.75" customHeight="1">
      <c r="A52" s="22"/>
      <c r="B52" s="22" t="s">
        <v>156</v>
      </c>
      <c r="C52" s="22"/>
      <c r="D52" s="9"/>
      <c r="E52" s="22"/>
      <c r="F52" s="19">
        <v>10000.0</v>
      </c>
    </row>
    <row r="53" ht="15.75" customHeight="1">
      <c r="A53" s="22"/>
      <c r="B53" s="22" t="s">
        <v>160</v>
      </c>
      <c r="C53" s="22"/>
      <c r="D53" s="9"/>
      <c r="E53" s="22"/>
      <c r="F53" s="22"/>
    </row>
    <row r="54" ht="15.75" customHeight="1">
      <c r="A54" s="21">
        <v>46126.0</v>
      </c>
      <c r="B54" s="22" t="s">
        <v>161</v>
      </c>
      <c r="C54" s="22" t="s">
        <v>23</v>
      </c>
      <c r="D54" s="9"/>
      <c r="E54" s="19">
        <v>22000.0</v>
      </c>
      <c r="F54" s="22"/>
    </row>
    <row r="55" ht="15.75" customHeight="1">
      <c r="A55" s="22"/>
      <c r="B55" s="22" t="s">
        <v>100</v>
      </c>
      <c r="C55" s="22"/>
      <c r="D55" s="9"/>
      <c r="E55" s="22"/>
      <c r="F55" s="19">
        <v>22000.0</v>
      </c>
    </row>
    <row r="56" ht="15.75" customHeight="1">
      <c r="A56" s="22"/>
      <c r="B56" s="22" t="s">
        <v>165</v>
      </c>
      <c r="C56" s="22"/>
      <c r="D56" s="9"/>
      <c r="E56" s="22"/>
      <c r="F56" s="22"/>
    </row>
    <row r="57" ht="15.75" customHeight="1">
      <c r="A57" s="21">
        <v>46127.0</v>
      </c>
      <c r="B57" s="22" t="s">
        <v>93</v>
      </c>
      <c r="C57" s="22" t="s">
        <v>23</v>
      </c>
      <c r="D57" s="9"/>
      <c r="E57" s="19">
        <v>95000.0</v>
      </c>
      <c r="F57" s="22"/>
    </row>
    <row r="58" ht="15.75" customHeight="1">
      <c r="A58" s="22"/>
      <c r="B58" s="22" t="s">
        <v>168</v>
      </c>
      <c r="C58" s="22"/>
      <c r="D58" s="9"/>
      <c r="E58" s="22"/>
      <c r="F58" s="19">
        <v>95000.0</v>
      </c>
    </row>
    <row r="59" ht="15.75" customHeight="1">
      <c r="A59" s="22"/>
      <c r="B59" s="22" t="s">
        <v>169</v>
      </c>
      <c r="C59" s="22"/>
      <c r="D59" s="9"/>
      <c r="E59" s="22"/>
      <c r="F59" s="22"/>
    </row>
    <row r="60" ht="15.75" customHeight="1">
      <c r="A60" s="21">
        <v>46128.0</v>
      </c>
      <c r="B60" s="22" t="s">
        <v>173</v>
      </c>
      <c r="C60" s="22" t="s">
        <v>23</v>
      </c>
      <c r="D60" s="9"/>
      <c r="E60" s="19">
        <v>140000.0</v>
      </c>
      <c r="F60" s="22"/>
    </row>
    <row r="61" ht="15.75" customHeight="1">
      <c r="A61" s="22"/>
      <c r="B61" s="22" t="s">
        <v>105</v>
      </c>
      <c r="C61" s="22"/>
      <c r="D61" s="9"/>
      <c r="E61" s="22"/>
      <c r="F61" s="19">
        <v>140000.0</v>
      </c>
    </row>
    <row r="62" ht="15.75" customHeight="1">
      <c r="A62" s="22"/>
      <c r="B62" s="22" t="s">
        <v>176</v>
      </c>
      <c r="C62" s="22"/>
      <c r="D62" s="9"/>
      <c r="E62" s="22"/>
      <c r="F62" s="22"/>
    </row>
    <row r="63" ht="15.75" customHeight="1">
      <c r="A63" s="21">
        <v>46129.0</v>
      </c>
      <c r="B63" s="22" t="s">
        <v>178</v>
      </c>
      <c r="C63" s="22" t="s">
        <v>23</v>
      </c>
      <c r="D63" s="9"/>
      <c r="E63" s="19">
        <v>125000.0</v>
      </c>
      <c r="F63" s="22"/>
    </row>
    <row r="64" ht="15.75" customHeight="1">
      <c r="A64" s="22"/>
      <c r="B64" s="22" t="s">
        <v>179</v>
      </c>
      <c r="C64" s="22"/>
      <c r="D64" s="9"/>
      <c r="E64" s="22"/>
      <c r="F64" s="19">
        <v>125000.0</v>
      </c>
    </row>
    <row r="65" ht="15.75" customHeight="1">
      <c r="A65" s="22"/>
      <c r="B65" s="22" t="s">
        <v>183</v>
      </c>
      <c r="C65" s="22"/>
      <c r="D65" s="9"/>
      <c r="E65" s="22"/>
      <c r="F65" s="22"/>
    </row>
    <row r="66" ht="15.75" customHeight="1">
      <c r="A66" s="21">
        <v>46130.0</v>
      </c>
      <c r="B66" s="22" t="s">
        <v>186</v>
      </c>
      <c r="C66" s="22" t="s">
        <v>23</v>
      </c>
      <c r="D66" s="9"/>
      <c r="E66" s="19">
        <v>7000.0</v>
      </c>
      <c r="F66" s="22"/>
    </row>
    <row r="67" ht="15.75" customHeight="1">
      <c r="A67" s="22"/>
      <c r="B67" s="22" t="s">
        <v>100</v>
      </c>
      <c r="C67" s="22"/>
      <c r="D67" s="9"/>
      <c r="E67" s="22"/>
      <c r="F67" s="19">
        <v>7000.0</v>
      </c>
    </row>
    <row r="68" ht="15.75" customHeight="1">
      <c r="A68" s="22"/>
      <c r="B68" s="22" t="s">
        <v>189</v>
      </c>
      <c r="C68" s="22"/>
      <c r="D68" s="9"/>
      <c r="E68" s="22"/>
      <c r="F68" s="22"/>
    </row>
    <row r="69" ht="15.75" customHeight="1">
      <c r="A69" s="21">
        <v>46131.0</v>
      </c>
      <c r="B69" s="22" t="s">
        <v>107</v>
      </c>
      <c r="C69" s="22" t="s">
        <v>23</v>
      </c>
      <c r="D69" s="9"/>
      <c r="E69" s="19">
        <v>11000.0</v>
      </c>
      <c r="F69" s="22"/>
    </row>
    <row r="70" ht="15.75" customHeight="1">
      <c r="A70" s="22"/>
      <c r="B70" s="22" t="s">
        <v>194</v>
      </c>
      <c r="C70" s="22"/>
      <c r="D70" s="9"/>
      <c r="E70" s="22"/>
      <c r="F70" s="19">
        <v>11000.0</v>
      </c>
    </row>
    <row r="71" ht="15.75" customHeight="1">
      <c r="A71" s="22"/>
      <c r="B71" s="22" t="s">
        <v>196</v>
      </c>
      <c r="C71" s="22"/>
      <c r="D71" s="9"/>
      <c r="E71" s="22"/>
      <c r="F71" s="22"/>
    </row>
    <row r="72" ht="15.75" customHeight="1">
      <c r="A72" s="21">
        <v>46132.0</v>
      </c>
      <c r="B72" s="22" t="s">
        <v>107</v>
      </c>
      <c r="C72" s="22" t="s">
        <v>23</v>
      </c>
      <c r="D72" s="9"/>
      <c r="E72" s="19">
        <v>25000.0</v>
      </c>
      <c r="F72" s="22"/>
    </row>
    <row r="73" ht="15.75" customHeight="1">
      <c r="A73" s="22"/>
      <c r="B73" s="22" t="s">
        <v>127</v>
      </c>
      <c r="C73" s="22"/>
      <c r="D73" s="9"/>
      <c r="E73" s="22"/>
      <c r="F73" s="19">
        <v>25000.0</v>
      </c>
    </row>
    <row r="74" ht="15.75" customHeight="1">
      <c r="A74" s="22"/>
      <c r="B74" s="22" t="s">
        <v>201</v>
      </c>
      <c r="C74" s="22"/>
      <c r="D74" s="9"/>
      <c r="E74" s="22"/>
      <c r="F74" s="22"/>
    </row>
    <row r="75" ht="15.75" customHeight="1">
      <c r="A75" s="21">
        <v>46133.0</v>
      </c>
      <c r="B75" s="22" t="s">
        <v>203</v>
      </c>
      <c r="C75" s="22" t="s">
        <v>23</v>
      </c>
      <c r="D75" s="9"/>
      <c r="E75" s="19">
        <v>15000.0</v>
      </c>
      <c r="F75" s="22"/>
    </row>
    <row r="76" ht="15.75" customHeight="1">
      <c r="A76" s="22"/>
      <c r="B76" s="22" t="s">
        <v>100</v>
      </c>
      <c r="C76" s="22"/>
      <c r="D76" s="9"/>
      <c r="E76" s="22"/>
      <c r="F76" s="19">
        <v>15000.0</v>
      </c>
    </row>
    <row r="77" ht="15.75" customHeight="1">
      <c r="A77" s="22"/>
      <c r="B77" s="22" t="s">
        <v>206</v>
      </c>
      <c r="C77" s="22"/>
      <c r="D77" s="9"/>
      <c r="E77" s="22"/>
      <c r="F77" s="22"/>
    </row>
    <row r="78" ht="15.75" customHeight="1">
      <c r="A78" s="21">
        <v>46134.0</v>
      </c>
      <c r="B78" s="22" t="s">
        <v>208</v>
      </c>
      <c r="C78" s="22" t="s">
        <v>23</v>
      </c>
      <c r="D78" s="9"/>
      <c r="E78" s="19">
        <v>8000.0</v>
      </c>
      <c r="F78" s="22"/>
    </row>
    <row r="79" ht="15.75" customHeight="1">
      <c r="A79" s="22"/>
      <c r="B79" s="22" t="s">
        <v>127</v>
      </c>
      <c r="C79" s="22"/>
      <c r="D79" s="9"/>
      <c r="E79" s="22"/>
      <c r="F79" s="19">
        <v>8000.0</v>
      </c>
    </row>
    <row r="80" ht="15.75" customHeight="1">
      <c r="A80" s="22"/>
      <c r="B80" s="22" t="s">
        <v>210</v>
      </c>
      <c r="C80" s="22"/>
      <c r="D80" s="9"/>
      <c r="E80" s="22"/>
      <c r="F80" s="22"/>
    </row>
    <row r="81" ht="15.75" customHeight="1">
      <c r="A81" s="21">
        <v>46135.0</v>
      </c>
      <c r="B81" s="22" t="s">
        <v>212</v>
      </c>
      <c r="C81" s="22" t="s">
        <v>23</v>
      </c>
      <c r="D81" s="9"/>
      <c r="E81" s="19">
        <v>5000.0</v>
      </c>
      <c r="F81" s="22"/>
    </row>
    <row r="82" ht="15.75" customHeight="1">
      <c r="A82" s="22"/>
      <c r="B82" s="22" t="s">
        <v>100</v>
      </c>
      <c r="C82" s="22"/>
      <c r="D82" s="9"/>
      <c r="E82" s="22"/>
      <c r="F82" s="19">
        <v>5000.0</v>
      </c>
    </row>
    <row r="83" ht="15.75" customHeight="1">
      <c r="A83" s="22"/>
      <c r="B83" s="22" t="s">
        <v>215</v>
      </c>
      <c r="C83" s="22"/>
      <c r="D83" s="9"/>
      <c r="E83" s="22"/>
      <c r="F83" s="22"/>
    </row>
    <row r="84" ht="15.75" customHeight="1">
      <c r="A84" s="21">
        <v>46136.0</v>
      </c>
      <c r="B84" s="22" t="s">
        <v>178</v>
      </c>
      <c r="C84" s="22" t="s">
        <v>23</v>
      </c>
      <c r="D84" s="9"/>
      <c r="E84" s="19">
        <v>4000.0</v>
      </c>
      <c r="F84" s="22"/>
    </row>
    <row r="85" ht="15.75" customHeight="1">
      <c r="A85" s="22"/>
      <c r="B85" s="22" t="s">
        <v>218</v>
      </c>
      <c r="C85" s="22"/>
      <c r="D85" s="9"/>
      <c r="E85" s="22"/>
      <c r="F85" s="19">
        <v>4000.0</v>
      </c>
    </row>
    <row r="86" ht="15.75" customHeight="1">
      <c r="A86" s="22"/>
      <c r="B86" s="22" t="s">
        <v>220</v>
      </c>
      <c r="C86" s="22"/>
      <c r="D86" s="9"/>
      <c r="E86" s="22"/>
      <c r="F86" s="22"/>
    </row>
    <row r="87" ht="15.75" customHeight="1">
      <c r="A87" s="21">
        <v>46137.0</v>
      </c>
      <c r="B87" s="22" t="s">
        <v>93</v>
      </c>
      <c r="C87" s="22" t="s">
        <v>23</v>
      </c>
      <c r="D87" s="9"/>
      <c r="E87" s="19">
        <v>35000.0</v>
      </c>
      <c r="F87" s="22"/>
    </row>
    <row r="88" ht="15.75" customHeight="1">
      <c r="A88" s="22"/>
      <c r="B88" s="22" t="s">
        <v>100</v>
      </c>
      <c r="C88" s="22"/>
      <c r="D88" s="9"/>
      <c r="E88" s="22"/>
      <c r="F88" s="19">
        <v>35000.0</v>
      </c>
    </row>
    <row r="89" ht="15.75" customHeight="1">
      <c r="A89" s="22"/>
      <c r="B89" s="22" t="s">
        <v>102</v>
      </c>
      <c r="C89" s="22"/>
      <c r="D89" s="9"/>
      <c r="E89" s="22"/>
      <c r="F89" s="22"/>
    </row>
    <row r="90" ht="15.75" customHeight="1">
      <c r="A90" s="21">
        <v>46138.0</v>
      </c>
      <c r="B90" s="22" t="s">
        <v>225</v>
      </c>
      <c r="C90" s="22" t="s">
        <v>23</v>
      </c>
      <c r="D90" s="9"/>
      <c r="E90" s="19">
        <v>10000.0</v>
      </c>
      <c r="F90" s="22"/>
    </row>
    <row r="91" ht="15.75" customHeight="1">
      <c r="A91" s="22"/>
      <c r="B91" s="22" t="s">
        <v>100</v>
      </c>
      <c r="C91" s="22"/>
      <c r="D91" s="9"/>
      <c r="E91" s="22"/>
      <c r="F91" s="19">
        <v>10000.0</v>
      </c>
    </row>
    <row r="92" ht="15.75" customHeight="1">
      <c r="A92" s="22"/>
      <c r="B92" s="22" t="s">
        <v>228</v>
      </c>
      <c r="C92" s="22"/>
      <c r="D92" s="9"/>
      <c r="E92" s="22"/>
      <c r="F92" s="22"/>
    </row>
    <row r="93" ht="15.75" customHeight="1">
      <c r="A93" s="21">
        <v>46139.0</v>
      </c>
      <c r="B93" s="22" t="s">
        <v>230</v>
      </c>
      <c r="C93" s="22" t="s">
        <v>23</v>
      </c>
      <c r="D93" s="9"/>
      <c r="E93" s="19">
        <v>3500.0</v>
      </c>
      <c r="F93" s="22"/>
    </row>
    <row r="94" ht="15.75" customHeight="1">
      <c r="A94" s="22"/>
      <c r="B94" s="22" t="s">
        <v>100</v>
      </c>
      <c r="C94" s="22"/>
      <c r="D94" s="9"/>
      <c r="E94" s="22"/>
      <c r="F94" s="19">
        <v>3500.0</v>
      </c>
    </row>
    <row r="95" ht="15.75" customHeight="1">
      <c r="A95" s="22"/>
      <c r="B95" s="22" t="s">
        <v>232</v>
      </c>
      <c r="C95" s="22"/>
      <c r="D95" s="9"/>
      <c r="E95" s="22"/>
      <c r="F95" s="22"/>
    </row>
    <row r="96" ht="15.75" customHeight="1">
      <c r="A96" s="21">
        <v>46140.0</v>
      </c>
      <c r="B96" s="22" t="s">
        <v>234</v>
      </c>
      <c r="C96" s="22" t="s">
        <v>23</v>
      </c>
      <c r="D96" s="9"/>
      <c r="E96" s="19">
        <v>30000.0</v>
      </c>
      <c r="F96" s="22"/>
    </row>
    <row r="97" ht="15.75" customHeight="1">
      <c r="A97" s="22"/>
      <c r="B97" s="22" t="s">
        <v>100</v>
      </c>
      <c r="C97" s="22"/>
      <c r="D97" s="9"/>
      <c r="E97" s="22"/>
      <c r="F97" s="19">
        <v>30000.0</v>
      </c>
    </row>
    <row r="98" ht="15.75" customHeight="1">
      <c r="A98" s="22"/>
      <c r="B98" s="22" t="s">
        <v>236</v>
      </c>
      <c r="C98" s="22"/>
      <c r="D98" s="9"/>
      <c r="E98" s="22"/>
      <c r="F98" s="22"/>
    </row>
    <row r="99" ht="15.75" customHeight="1">
      <c r="A99" s="21">
        <v>46141.0</v>
      </c>
      <c r="B99" s="22" t="s">
        <v>237</v>
      </c>
      <c r="C99" s="22" t="s">
        <v>23</v>
      </c>
      <c r="D99" s="9"/>
      <c r="E99" s="19">
        <v>7000.0</v>
      </c>
      <c r="F99" s="22"/>
    </row>
    <row r="100" ht="15.75" customHeight="1">
      <c r="A100" s="22"/>
      <c r="B100" s="22" t="s">
        <v>127</v>
      </c>
      <c r="C100" s="22"/>
      <c r="D100" s="9"/>
      <c r="E100" s="22"/>
      <c r="F100" s="19">
        <v>7000.0</v>
      </c>
    </row>
    <row r="101" ht="15.75" customHeight="1">
      <c r="A101" s="22"/>
      <c r="B101" s="22" t="s">
        <v>239</v>
      </c>
      <c r="C101" s="22"/>
      <c r="D101" s="9"/>
      <c r="E101" s="22"/>
      <c r="F101" s="22"/>
    </row>
    <row r="102" ht="15.75" customHeight="1">
      <c r="A102" s="21">
        <v>46142.0</v>
      </c>
      <c r="B102" s="22" t="s">
        <v>178</v>
      </c>
      <c r="C102" s="22" t="s">
        <v>23</v>
      </c>
      <c r="D102" s="9"/>
      <c r="E102" s="19">
        <v>50000.0</v>
      </c>
      <c r="F102" s="22"/>
    </row>
    <row r="103" ht="15.75" customHeight="1">
      <c r="A103" s="22"/>
      <c r="B103" s="22" t="s">
        <v>100</v>
      </c>
      <c r="C103" s="22"/>
      <c r="D103" s="9"/>
      <c r="E103" s="22"/>
      <c r="F103" s="19">
        <v>50000.0</v>
      </c>
    </row>
    <row r="104" ht="15.75" customHeight="1">
      <c r="A104" s="22"/>
      <c r="B104" s="22" t="s">
        <v>241</v>
      </c>
      <c r="C104" s="22"/>
      <c r="D104" s="9"/>
      <c r="E104" s="22"/>
      <c r="F104" s="22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5.71"/>
    <col customWidth="1" min="3" max="3" width="8.14"/>
    <col customWidth="1" min="4" max="4" width="13.0"/>
    <col customWidth="1" min="5" max="5" width="11.71"/>
    <col customWidth="1" min="6" max="6" width="29.29"/>
    <col customWidth="1" min="7" max="7" width="7.71"/>
    <col customWidth="1" min="8" max="8" width="14.0"/>
    <col customWidth="1" min="9" max="26" width="8.71"/>
  </cols>
  <sheetData>
    <row r="1">
      <c r="A1" s="4" t="s">
        <v>9</v>
      </c>
    </row>
    <row r="2">
      <c r="A2" s="8"/>
      <c r="B2" s="8"/>
      <c r="C2" s="8"/>
      <c r="D2" s="8"/>
      <c r="E2" s="8"/>
      <c r="F2" s="8"/>
      <c r="G2" s="8"/>
      <c r="H2" s="12"/>
    </row>
    <row r="3">
      <c r="A3" s="4" t="s">
        <v>28</v>
      </c>
    </row>
    <row r="4">
      <c r="A4" s="15" t="s">
        <v>40</v>
      </c>
      <c r="B4" s="1"/>
      <c r="C4" s="1"/>
      <c r="D4" s="1"/>
      <c r="E4" s="1"/>
      <c r="F4" s="1"/>
      <c r="G4" s="1"/>
      <c r="H4" s="12" t="s">
        <v>46</v>
      </c>
    </row>
    <row r="5">
      <c r="A5" s="3" t="s">
        <v>6</v>
      </c>
      <c r="B5" s="3" t="s">
        <v>7</v>
      </c>
      <c r="C5" s="3" t="s">
        <v>51</v>
      </c>
      <c r="D5" s="3" t="s">
        <v>52</v>
      </c>
      <c r="E5" s="3" t="s">
        <v>6</v>
      </c>
      <c r="F5" s="3" t="s">
        <v>54</v>
      </c>
      <c r="G5" s="3" t="s">
        <v>51</v>
      </c>
      <c r="H5" s="3" t="s">
        <v>52</v>
      </c>
    </row>
    <row r="6">
      <c r="A6" s="9" t="s">
        <v>57</v>
      </c>
      <c r="B6" s="10" t="s">
        <v>59</v>
      </c>
      <c r="C6" s="9"/>
      <c r="D6" s="19">
        <v>90000.0</v>
      </c>
      <c r="E6" s="9" t="s">
        <v>57</v>
      </c>
      <c r="F6" s="10" t="s">
        <v>19</v>
      </c>
      <c r="G6" s="9"/>
      <c r="H6" s="11">
        <v>55000.0</v>
      </c>
    </row>
    <row r="7">
      <c r="A7" s="9" t="s">
        <v>57</v>
      </c>
      <c r="B7" s="10" t="s">
        <v>71</v>
      </c>
      <c r="C7" s="9"/>
      <c r="D7" s="19">
        <v>55000.0</v>
      </c>
      <c r="E7" s="9" t="s">
        <v>57</v>
      </c>
      <c r="F7" s="10" t="s">
        <v>27</v>
      </c>
      <c r="G7" s="9"/>
      <c r="H7" s="11">
        <v>150000.0</v>
      </c>
    </row>
    <row r="8">
      <c r="A8" s="9" t="s">
        <v>57</v>
      </c>
      <c r="B8" s="10" t="s">
        <v>77</v>
      </c>
      <c r="C8" s="9"/>
      <c r="D8" s="19">
        <v>150000.0</v>
      </c>
      <c r="E8" s="9" t="s">
        <v>57</v>
      </c>
      <c r="F8" s="10" t="s">
        <v>80</v>
      </c>
      <c r="G8" s="9"/>
      <c r="H8" s="11">
        <v>120000.0</v>
      </c>
    </row>
    <row r="9">
      <c r="A9" s="9" t="s">
        <v>84</v>
      </c>
      <c r="B9" s="9" t="s">
        <v>86</v>
      </c>
      <c r="C9" s="9"/>
      <c r="D9" s="11">
        <v>905000.0</v>
      </c>
      <c r="E9" s="9" t="s">
        <v>57</v>
      </c>
      <c r="F9" s="10" t="s">
        <v>81</v>
      </c>
      <c r="G9" s="9"/>
      <c r="H9" s="19">
        <v>80000.0</v>
      </c>
    </row>
    <row r="10">
      <c r="A10" s="9"/>
      <c r="B10" s="9"/>
      <c r="C10" s="9"/>
      <c r="D10" s="9"/>
      <c r="E10" s="9" t="s">
        <v>57</v>
      </c>
      <c r="F10" s="10" t="s">
        <v>89</v>
      </c>
      <c r="G10" s="9"/>
      <c r="H10" s="19">
        <v>250000.0</v>
      </c>
    </row>
    <row r="11">
      <c r="A11" s="9"/>
      <c r="B11" s="9"/>
      <c r="C11" s="9"/>
      <c r="D11" s="11"/>
      <c r="E11" s="9" t="s">
        <v>57</v>
      </c>
      <c r="F11" s="10" t="s">
        <v>90</v>
      </c>
      <c r="G11" s="9"/>
      <c r="H11" s="19">
        <v>400000.0</v>
      </c>
    </row>
    <row r="12">
      <c r="A12" s="9"/>
      <c r="B12" s="9"/>
      <c r="C12" s="9"/>
      <c r="D12" s="11"/>
      <c r="E12" s="9" t="s">
        <v>57</v>
      </c>
      <c r="F12" s="10" t="s">
        <v>33</v>
      </c>
      <c r="G12" s="9"/>
      <c r="H12" s="19">
        <v>85000.0</v>
      </c>
    </row>
    <row r="13">
      <c r="A13" s="9"/>
      <c r="B13" s="9"/>
      <c r="C13" s="9"/>
      <c r="D13" s="11"/>
      <c r="E13" s="9" t="s">
        <v>57</v>
      </c>
      <c r="F13" s="10" t="s">
        <v>62</v>
      </c>
      <c r="G13" s="9"/>
      <c r="H13" s="19">
        <v>60000.0</v>
      </c>
    </row>
    <row r="14">
      <c r="A14" s="9"/>
      <c r="B14" s="9"/>
      <c r="C14" s="9"/>
      <c r="D14" s="24">
        <f>SUM(D6:D13)</f>
        <v>1200000</v>
      </c>
      <c r="E14" s="9"/>
      <c r="F14" s="9"/>
      <c r="G14" s="9"/>
      <c r="H14" s="24">
        <f>SUM(H6:H13)</f>
        <v>1200000</v>
      </c>
    </row>
    <row r="15">
      <c r="A15" s="9"/>
      <c r="B15" s="9"/>
      <c r="C15" s="9"/>
      <c r="D15" s="9"/>
      <c r="E15" s="9" t="s">
        <v>119</v>
      </c>
      <c r="F15" s="9" t="s">
        <v>120</v>
      </c>
      <c r="G15" s="9"/>
      <c r="H15" s="11">
        <v>905000.0</v>
      </c>
    </row>
    <row r="16">
      <c r="A16" s="1"/>
      <c r="B16" s="1"/>
      <c r="C16" s="1"/>
      <c r="D16" s="1"/>
      <c r="E16" s="1"/>
      <c r="F16" s="1"/>
      <c r="G16" s="1"/>
      <c r="H16" s="26"/>
    </row>
    <row r="17">
      <c r="A17" s="4" t="s">
        <v>126</v>
      </c>
    </row>
    <row r="18">
      <c r="A18" s="15" t="s">
        <v>40</v>
      </c>
      <c r="B18" s="1"/>
      <c r="C18" s="1"/>
      <c r="D18" s="1"/>
      <c r="E18" s="1"/>
      <c r="F18" s="1"/>
      <c r="G18" s="1"/>
      <c r="H18" s="12" t="s">
        <v>46</v>
      </c>
    </row>
    <row r="19">
      <c r="A19" s="3" t="s">
        <v>6</v>
      </c>
      <c r="B19" s="3" t="s">
        <v>7</v>
      </c>
      <c r="C19" s="3" t="s">
        <v>51</v>
      </c>
      <c r="D19" s="3" t="s">
        <v>52</v>
      </c>
      <c r="E19" s="3" t="s">
        <v>6</v>
      </c>
      <c r="F19" s="3" t="s">
        <v>54</v>
      </c>
      <c r="G19" s="3" t="s">
        <v>51</v>
      </c>
      <c r="H19" s="3" t="s">
        <v>52</v>
      </c>
    </row>
    <row r="20">
      <c r="A20" s="9" t="s">
        <v>57</v>
      </c>
      <c r="B20" s="9" t="s">
        <v>132</v>
      </c>
      <c r="C20" s="9"/>
      <c r="D20" s="11">
        <v>55000.0</v>
      </c>
      <c r="E20" s="9" t="s">
        <v>134</v>
      </c>
      <c r="F20" s="9" t="s">
        <v>135</v>
      </c>
      <c r="G20" s="9"/>
      <c r="H20" s="11">
        <v>50000.0</v>
      </c>
    </row>
    <row r="21" ht="15.75" customHeight="1">
      <c r="A21" s="9" t="s">
        <v>136</v>
      </c>
      <c r="B21" s="9" t="s">
        <v>138</v>
      </c>
      <c r="C21" s="9"/>
      <c r="D21" s="11">
        <v>90000.0</v>
      </c>
      <c r="E21" s="9" t="s">
        <v>140</v>
      </c>
      <c r="F21" s="9" t="s">
        <v>141</v>
      </c>
      <c r="G21" s="9"/>
      <c r="H21" s="11">
        <v>6000.0</v>
      </c>
    </row>
    <row r="22" ht="15.75" customHeight="1">
      <c r="A22" s="9" t="s">
        <v>142</v>
      </c>
      <c r="B22" s="9" t="s">
        <v>143</v>
      </c>
      <c r="C22" s="9"/>
      <c r="D22" s="11">
        <v>250000.0</v>
      </c>
      <c r="E22" s="9" t="s">
        <v>146</v>
      </c>
      <c r="F22" s="9" t="s">
        <v>147</v>
      </c>
      <c r="G22" s="9"/>
      <c r="H22" s="11">
        <v>18000.0</v>
      </c>
    </row>
    <row r="23" ht="15.75" customHeight="1">
      <c r="A23" s="9" t="s">
        <v>148</v>
      </c>
      <c r="B23" s="9" t="s">
        <v>149</v>
      </c>
      <c r="C23" s="9"/>
      <c r="D23" s="11">
        <v>11000.0</v>
      </c>
      <c r="E23" s="9" t="s">
        <v>151</v>
      </c>
      <c r="F23" s="9" t="s">
        <v>152</v>
      </c>
      <c r="G23" s="9"/>
      <c r="H23" s="11">
        <v>28000.0</v>
      </c>
    </row>
    <row r="24" ht="15.75" customHeight="1">
      <c r="A24" s="9" t="s">
        <v>154</v>
      </c>
      <c r="B24" s="9" t="s">
        <v>155</v>
      </c>
      <c r="C24" s="9"/>
      <c r="D24" s="11">
        <v>25000.0</v>
      </c>
      <c r="E24" s="9" t="s">
        <v>157</v>
      </c>
      <c r="F24" s="9" t="s">
        <v>158</v>
      </c>
      <c r="G24" s="9"/>
      <c r="H24" s="11">
        <v>22000.0</v>
      </c>
    </row>
    <row r="25" ht="15.75" customHeight="1">
      <c r="A25" s="9"/>
      <c r="B25" s="9"/>
      <c r="C25" s="9"/>
      <c r="D25" s="11"/>
      <c r="E25" s="9" t="s">
        <v>162</v>
      </c>
      <c r="F25" s="9" t="s">
        <v>163</v>
      </c>
      <c r="G25" s="9"/>
      <c r="H25" s="11">
        <v>7000.0</v>
      </c>
    </row>
    <row r="26" ht="15.75" customHeight="1">
      <c r="A26" s="9"/>
      <c r="B26" s="9"/>
      <c r="C26" s="9"/>
      <c r="D26" s="11"/>
      <c r="E26" s="9" t="s">
        <v>166</v>
      </c>
      <c r="F26" s="9" t="s">
        <v>69</v>
      </c>
      <c r="G26" s="9"/>
      <c r="H26" s="11">
        <v>15000.0</v>
      </c>
    </row>
    <row r="27" ht="15.75" customHeight="1">
      <c r="A27" s="9"/>
      <c r="B27" s="9"/>
      <c r="C27" s="9"/>
      <c r="D27" s="9"/>
      <c r="E27" s="9" t="s">
        <v>170</v>
      </c>
      <c r="F27" s="9" t="s">
        <v>172</v>
      </c>
      <c r="G27" s="9"/>
      <c r="H27" s="11">
        <v>5000.0</v>
      </c>
    </row>
    <row r="28" ht="15.75" customHeight="1">
      <c r="A28" s="9"/>
      <c r="B28" s="9"/>
      <c r="C28" s="9"/>
      <c r="D28" s="9"/>
      <c r="E28" s="9" t="s">
        <v>175</v>
      </c>
      <c r="F28" s="9" t="s">
        <v>177</v>
      </c>
      <c r="G28" s="9"/>
      <c r="H28" s="11">
        <v>35000.0</v>
      </c>
    </row>
    <row r="29" ht="15.75" customHeight="1">
      <c r="A29" s="9"/>
      <c r="B29" s="9"/>
      <c r="C29" s="9"/>
      <c r="D29" s="9"/>
      <c r="E29" s="9" t="s">
        <v>180</v>
      </c>
      <c r="F29" s="9" t="s">
        <v>182</v>
      </c>
      <c r="G29" s="9"/>
      <c r="H29" s="11">
        <v>10000.0</v>
      </c>
    </row>
    <row r="30" ht="15.75" customHeight="1">
      <c r="A30" s="9"/>
      <c r="B30" s="9"/>
      <c r="C30" s="9"/>
      <c r="D30" s="9"/>
      <c r="E30" s="9" t="s">
        <v>185</v>
      </c>
      <c r="F30" s="9" t="s">
        <v>187</v>
      </c>
      <c r="G30" s="9"/>
      <c r="H30" s="11">
        <v>3500.0</v>
      </c>
    </row>
    <row r="31" ht="15.75" customHeight="1">
      <c r="A31" s="9"/>
      <c r="B31" s="9"/>
      <c r="C31" s="9"/>
      <c r="D31" s="9"/>
      <c r="E31" s="9" t="s">
        <v>190</v>
      </c>
      <c r="F31" s="9" t="s">
        <v>191</v>
      </c>
      <c r="G31" s="9"/>
      <c r="H31" s="11">
        <v>30000.0</v>
      </c>
    </row>
    <row r="32" ht="15.75" customHeight="1">
      <c r="A32" s="9"/>
      <c r="B32" s="9"/>
      <c r="C32" s="9"/>
      <c r="D32" s="9"/>
      <c r="E32" s="9" t="s">
        <v>193</v>
      </c>
      <c r="F32" s="9" t="s">
        <v>195</v>
      </c>
      <c r="G32" s="9"/>
      <c r="H32" s="11">
        <v>7000.0</v>
      </c>
    </row>
    <row r="33" ht="15.75" customHeight="1">
      <c r="A33" s="9"/>
      <c r="B33" s="9"/>
      <c r="C33" s="9"/>
      <c r="D33" s="9"/>
      <c r="E33" s="9" t="s">
        <v>84</v>
      </c>
      <c r="F33" s="9" t="s">
        <v>198</v>
      </c>
      <c r="G33" s="9"/>
      <c r="H33" s="11">
        <v>50000.0</v>
      </c>
    </row>
    <row r="34" ht="15.75" customHeight="1">
      <c r="A34" s="9"/>
      <c r="B34" s="9"/>
      <c r="C34" s="9"/>
      <c r="D34" s="9"/>
      <c r="E34" s="9" t="s">
        <v>84</v>
      </c>
      <c r="F34" s="9" t="s">
        <v>200</v>
      </c>
      <c r="G34" s="9"/>
      <c r="H34" s="11">
        <v>144500.0</v>
      </c>
    </row>
    <row r="35" ht="15.75" customHeight="1">
      <c r="A35" s="9"/>
      <c r="B35" s="9"/>
      <c r="C35" s="9"/>
      <c r="D35" s="24">
        <f>SUM(D20:D34)</f>
        <v>431000</v>
      </c>
      <c r="E35" s="9"/>
      <c r="F35" s="9"/>
      <c r="G35" s="9"/>
      <c r="H35" s="24">
        <f>SUM(H20:H34)</f>
        <v>431000</v>
      </c>
    </row>
    <row r="36" ht="15.75" customHeight="1">
      <c r="A36" s="9" t="s">
        <v>119</v>
      </c>
      <c r="B36" s="9" t="s">
        <v>132</v>
      </c>
      <c r="C36" s="9"/>
      <c r="D36" s="11">
        <v>144500.0</v>
      </c>
      <c r="E36" s="9"/>
      <c r="F36" s="9"/>
      <c r="G36" s="9"/>
      <c r="H36" s="9"/>
    </row>
    <row r="37" ht="15.75" customHeight="1">
      <c r="A37" s="1"/>
      <c r="B37" s="1"/>
      <c r="C37" s="1"/>
      <c r="D37" s="26"/>
      <c r="E37" s="1"/>
      <c r="F37" s="1"/>
      <c r="G37" s="1"/>
      <c r="H37" s="1"/>
    </row>
    <row r="38" ht="15.75" customHeight="1">
      <c r="A38" s="4" t="s">
        <v>214</v>
      </c>
    </row>
    <row r="39" ht="15.75" customHeight="1">
      <c r="A39" s="15" t="s">
        <v>40</v>
      </c>
      <c r="B39" s="1"/>
      <c r="C39" s="1"/>
      <c r="D39" s="1"/>
      <c r="E39" s="1"/>
      <c r="F39" s="1"/>
      <c r="G39" s="1"/>
      <c r="H39" s="12" t="s">
        <v>46</v>
      </c>
    </row>
    <row r="40" ht="15.75" customHeight="1">
      <c r="A40" s="3" t="s">
        <v>6</v>
      </c>
      <c r="B40" s="3" t="s">
        <v>7</v>
      </c>
      <c r="C40" s="3" t="s">
        <v>51</v>
      </c>
      <c r="D40" s="3" t="s">
        <v>52</v>
      </c>
      <c r="E40" s="3" t="s">
        <v>6</v>
      </c>
      <c r="F40" s="3" t="s">
        <v>54</v>
      </c>
      <c r="G40" s="3" t="s">
        <v>51</v>
      </c>
      <c r="H40" s="3" t="s">
        <v>52</v>
      </c>
    </row>
    <row r="41" ht="15.75" customHeight="1">
      <c r="A41" s="9" t="s">
        <v>57</v>
      </c>
      <c r="B41" s="9" t="s">
        <v>132</v>
      </c>
      <c r="C41" s="9"/>
      <c r="D41" s="11">
        <v>150000.0</v>
      </c>
      <c r="E41" s="9" t="s">
        <v>222</v>
      </c>
      <c r="F41" s="9" t="s">
        <v>45</v>
      </c>
      <c r="G41" s="9"/>
      <c r="H41" s="11">
        <v>60000.0</v>
      </c>
    </row>
    <row r="42" ht="15.75" customHeight="1">
      <c r="A42" s="9" t="s">
        <v>223</v>
      </c>
      <c r="B42" s="9" t="s">
        <v>224</v>
      </c>
      <c r="C42" s="9"/>
      <c r="D42" s="11">
        <v>125000.0</v>
      </c>
      <c r="E42" s="9" t="s">
        <v>226</v>
      </c>
      <c r="F42" s="9" t="s">
        <v>31</v>
      </c>
      <c r="G42" s="9"/>
      <c r="H42" s="11">
        <v>180000.0</v>
      </c>
    </row>
    <row r="43" ht="15.75" customHeight="1">
      <c r="A43" s="9" t="s">
        <v>227</v>
      </c>
      <c r="B43" s="9" t="s">
        <v>229</v>
      </c>
      <c r="C43" s="9"/>
      <c r="D43" s="11">
        <v>4000.0</v>
      </c>
      <c r="E43" s="9" t="s">
        <v>154</v>
      </c>
      <c r="F43" s="9" t="s">
        <v>19</v>
      </c>
      <c r="G43" s="9"/>
      <c r="H43" s="11">
        <v>25000.0</v>
      </c>
    </row>
    <row r="44" ht="15.75" customHeight="1">
      <c r="A44" s="9" t="s">
        <v>84</v>
      </c>
      <c r="B44" s="9" t="s">
        <v>233</v>
      </c>
      <c r="C44" s="9"/>
      <c r="D44" s="11">
        <v>50000.0</v>
      </c>
      <c r="E44" s="9" t="s">
        <v>235</v>
      </c>
      <c r="F44" s="9" t="s">
        <v>70</v>
      </c>
      <c r="G44" s="9"/>
      <c r="H44" s="11">
        <v>8000.0</v>
      </c>
    </row>
    <row r="45" ht="15.75" customHeight="1">
      <c r="A45" s="9"/>
      <c r="B45" s="9"/>
      <c r="C45" s="9"/>
      <c r="D45" s="9"/>
      <c r="E45" s="9" t="s">
        <v>84</v>
      </c>
      <c r="F45" s="9" t="s">
        <v>200</v>
      </c>
      <c r="G45" s="9"/>
      <c r="H45" s="11">
        <v>56000.0</v>
      </c>
    </row>
    <row r="46" ht="15.75" customHeight="1">
      <c r="A46" s="9"/>
      <c r="B46" s="9"/>
      <c r="C46" s="9"/>
      <c r="D46" s="24">
        <f>SUM(D41:D45)</f>
        <v>329000</v>
      </c>
      <c r="E46" s="9"/>
      <c r="F46" s="9"/>
      <c r="G46" s="9"/>
      <c r="H46" s="24">
        <f>SUM(H41:H45)</f>
        <v>329000</v>
      </c>
    </row>
    <row r="47" ht="15.75" customHeight="1">
      <c r="A47" s="9" t="s">
        <v>119</v>
      </c>
      <c r="B47" s="9" t="s">
        <v>132</v>
      </c>
      <c r="C47" s="9"/>
      <c r="D47" s="11">
        <v>56000.0</v>
      </c>
      <c r="E47" s="9"/>
      <c r="F47" s="9"/>
      <c r="G47" s="9"/>
      <c r="H47" s="9"/>
    </row>
    <row r="48" ht="15.75" customHeight="1">
      <c r="A48" s="1"/>
      <c r="B48" s="1"/>
      <c r="C48" s="1"/>
      <c r="D48" s="26"/>
      <c r="E48" s="1"/>
      <c r="F48" s="1"/>
      <c r="G48" s="1"/>
      <c r="H48" s="1"/>
    </row>
    <row r="49" ht="15.75" customHeight="1">
      <c r="A49" s="4" t="s">
        <v>249</v>
      </c>
    </row>
    <row r="50" ht="15.75" customHeight="1">
      <c r="A50" s="15" t="s">
        <v>40</v>
      </c>
      <c r="B50" s="1"/>
      <c r="C50" s="1"/>
      <c r="D50" s="1"/>
      <c r="E50" s="1"/>
      <c r="F50" s="1"/>
      <c r="G50" s="1"/>
      <c r="H50" s="12" t="s">
        <v>46</v>
      </c>
    </row>
    <row r="51" ht="15.75" customHeight="1">
      <c r="A51" s="3" t="s">
        <v>6</v>
      </c>
      <c r="B51" s="3" t="s">
        <v>7</v>
      </c>
      <c r="C51" s="3" t="s">
        <v>51</v>
      </c>
      <c r="D51" s="3" t="s">
        <v>52</v>
      </c>
      <c r="E51" s="3" t="s">
        <v>6</v>
      </c>
      <c r="F51" s="3" t="s">
        <v>54</v>
      </c>
      <c r="G51" s="3" t="s">
        <v>51</v>
      </c>
      <c r="H51" s="3" t="s">
        <v>52</v>
      </c>
    </row>
    <row r="52" ht="15.75" customHeight="1">
      <c r="A52" s="9" t="s">
        <v>250</v>
      </c>
      <c r="B52" s="9" t="s">
        <v>59</v>
      </c>
      <c r="C52" s="9"/>
      <c r="D52" s="11">
        <v>140000.0</v>
      </c>
      <c r="E52" s="9" t="s">
        <v>84</v>
      </c>
      <c r="F52" s="9" t="s">
        <v>200</v>
      </c>
      <c r="G52" s="9"/>
      <c r="H52" s="11">
        <v>320000.0</v>
      </c>
    </row>
    <row r="53" ht="15.75" customHeight="1">
      <c r="A53" s="9" t="s">
        <v>134</v>
      </c>
      <c r="B53" s="9" t="s">
        <v>233</v>
      </c>
      <c r="C53" s="9"/>
      <c r="D53" s="11">
        <v>50000.0</v>
      </c>
      <c r="E53" s="9"/>
      <c r="F53" s="9"/>
      <c r="G53" s="9"/>
      <c r="H53" s="9"/>
    </row>
    <row r="54" ht="15.75" customHeight="1">
      <c r="A54" s="9" t="s">
        <v>254</v>
      </c>
      <c r="B54" s="9" t="s">
        <v>71</v>
      </c>
      <c r="C54" s="9"/>
      <c r="D54" s="11">
        <v>95000.0</v>
      </c>
      <c r="E54" s="9"/>
      <c r="F54" s="9"/>
      <c r="G54" s="9"/>
      <c r="H54" s="9"/>
    </row>
    <row r="55" ht="15.75" customHeight="1">
      <c r="A55" s="9" t="s">
        <v>175</v>
      </c>
      <c r="B55" s="9" t="s">
        <v>233</v>
      </c>
      <c r="C55" s="9"/>
      <c r="D55" s="11">
        <v>35000.0</v>
      </c>
      <c r="E55" s="9"/>
      <c r="F55" s="9"/>
      <c r="G55" s="9"/>
      <c r="H55" s="9"/>
    </row>
    <row r="56" ht="15.75" customHeight="1">
      <c r="A56" s="9"/>
      <c r="B56" s="9"/>
      <c r="C56" s="9"/>
      <c r="D56" s="9"/>
      <c r="E56" s="9"/>
      <c r="F56" s="9"/>
      <c r="G56" s="9"/>
      <c r="H56" s="9"/>
    </row>
    <row r="57" ht="15.75" customHeight="1">
      <c r="A57" s="9"/>
      <c r="B57" s="9"/>
      <c r="C57" s="9"/>
      <c r="D57" s="24">
        <f>SUM(D52:D56)</f>
        <v>320000</v>
      </c>
      <c r="E57" s="9"/>
      <c r="F57" s="9"/>
      <c r="G57" s="9"/>
      <c r="H57" s="24">
        <v>320000.0</v>
      </c>
    </row>
    <row r="58" ht="15.75" customHeight="1">
      <c r="A58" s="9" t="s">
        <v>119</v>
      </c>
      <c r="B58" s="9" t="s">
        <v>132</v>
      </c>
      <c r="C58" s="9"/>
      <c r="D58" s="11">
        <v>320000.0</v>
      </c>
      <c r="E58" s="9"/>
      <c r="F58" s="9"/>
      <c r="G58" s="9"/>
      <c r="H58" s="9"/>
    </row>
    <row r="59" ht="15.75" customHeight="1">
      <c r="A59" s="1"/>
      <c r="B59" s="1"/>
      <c r="C59" s="1"/>
      <c r="D59" s="26"/>
      <c r="E59" s="1"/>
      <c r="F59" s="1"/>
      <c r="G59" s="1"/>
      <c r="H59" s="1"/>
    </row>
    <row r="60" ht="15.75" customHeight="1">
      <c r="A60" s="4" t="s">
        <v>262</v>
      </c>
    </row>
    <row r="61" ht="15.75" customHeight="1">
      <c r="A61" s="15" t="s">
        <v>40</v>
      </c>
      <c r="B61" s="1"/>
      <c r="C61" s="1"/>
      <c r="D61" s="1"/>
      <c r="E61" s="1"/>
      <c r="F61" s="1"/>
      <c r="G61" s="1"/>
      <c r="H61" s="12" t="s">
        <v>46</v>
      </c>
    </row>
    <row r="62" ht="15.75" customHeight="1">
      <c r="A62" s="3" t="s">
        <v>6</v>
      </c>
      <c r="B62" s="3" t="s">
        <v>7</v>
      </c>
      <c r="C62" s="3" t="s">
        <v>51</v>
      </c>
      <c r="D62" s="3" t="s">
        <v>52</v>
      </c>
      <c r="E62" s="3" t="s">
        <v>6</v>
      </c>
      <c r="F62" s="3" t="s">
        <v>54</v>
      </c>
      <c r="G62" s="3" t="s">
        <v>51</v>
      </c>
      <c r="H62" s="3" t="s">
        <v>52</v>
      </c>
    </row>
    <row r="63" ht="15.75" customHeight="1">
      <c r="A63" s="9" t="s">
        <v>263</v>
      </c>
      <c r="B63" s="9" t="s">
        <v>264</v>
      </c>
      <c r="C63" s="9"/>
      <c r="D63" s="11">
        <v>15000.0</v>
      </c>
      <c r="E63" s="9" t="s">
        <v>57</v>
      </c>
      <c r="F63" s="9" t="s">
        <v>120</v>
      </c>
      <c r="G63" s="9"/>
      <c r="H63" s="11">
        <v>90000.0</v>
      </c>
    </row>
    <row r="64" ht="15.75" customHeight="1">
      <c r="A64" s="9" t="s">
        <v>226</v>
      </c>
      <c r="B64" s="9" t="s">
        <v>265</v>
      </c>
      <c r="C64" s="9"/>
      <c r="D64" s="11">
        <v>10000.0</v>
      </c>
      <c r="E64" s="9" t="s">
        <v>250</v>
      </c>
      <c r="F64" s="9" t="s">
        <v>135</v>
      </c>
      <c r="G64" s="9"/>
      <c r="H64" s="11">
        <v>140000.0</v>
      </c>
    </row>
    <row r="65" ht="15.75" customHeight="1">
      <c r="A65" s="9" t="s">
        <v>226</v>
      </c>
      <c r="B65" s="9" t="s">
        <v>155</v>
      </c>
      <c r="C65" s="9"/>
      <c r="D65" s="11">
        <v>180000.0</v>
      </c>
      <c r="E65" s="9"/>
      <c r="F65" s="9"/>
      <c r="G65" s="9"/>
      <c r="H65" s="9"/>
    </row>
    <row r="66" ht="15.75" customHeight="1">
      <c r="A66" s="9" t="s">
        <v>84</v>
      </c>
      <c r="B66" s="9" t="s">
        <v>86</v>
      </c>
      <c r="C66" s="9"/>
      <c r="D66" s="11">
        <v>25000.0</v>
      </c>
      <c r="E66" s="9"/>
      <c r="F66" s="9"/>
      <c r="G66" s="9"/>
      <c r="H66" s="9"/>
    </row>
    <row r="67" ht="15.75" customHeight="1">
      <c r="A67" s="9"/>
      <c r="B67" s="9"/>
      <c r="C67" s="9"/>
      <c r="D67" s="24">
        <f>SUM(D63:D66)</f>
        <v>230000</v>
      </c>
      <c r="E67" s="9"/>
      <c r="F67" s="9"/>
      <c r="G67" s="9"/>
      <c r="H67" s="24">
        <f>SUM(H63:H66)</f>
        <v>230000</v>
      </c>
    </row>
    <row r="68" ht="15.75" customHeight="1">
      <c r="A68" s="9"/>
      <c r="B68" s="9"/>
      <c r="C68" s="9"/>
      <c r="D68" s="9"/>
      <c r="E68" s="9" t="s">
        <v>119</v>
      </c>
      <c r="F68" s="9" t="s">
        <v>120</v>
      </c>
      <c r="G68" s="9"/>
      <c r="H68" s="11">
        <v>25000.0</v>
      </c>
    </row>
    <row r="69" ht="15.75" customHeight="1">
      <c r="A69" s="1"/>
      <c r="B69" s="1"/>
      <c r="C69" s="1"/>
      <c r="D69" s="1"/>
      <c r="E69" s="1"/>
      <c r="F69" s="1"/>
      <c r="G69" s="1"/>
      <c r="H69" s="26"/>
    </row>
    <row r="70" ht="15.75" customHeight="1">
      <c r="A70" s="4" t="s">
        <v>266</v>
      </c>
    </row>
    <row r="71" ht="15.75" customHeight="1">
      <c r="A71" s="15" t="s">
        <v>40</v>
      </c>
      <c r="B71" s="1"/>
      <c r="C71" s="1"/>
      <c r="D71" s="1"/>
      <c r="E71" s="1"/>
      <c r="F71" s="1"/>
      <c r="G71" s="1"/>
      <c r="H71" s="12" t="s">
        <v>46</v>
      </c>
    </row>
    <row r="72" ht="15.75" customHeight="1">
      <c r="A72" s="3" t="s">
        <v>6</v>
      </c>
      <c r="B72" s="3" t="s">
        <v>7</v>
      </c>
      <c r="C72" s="3" t="s">
        <v>51</v>
      </c>
      <c r="D72" s="3" t="s">
        <v>52</v>
      </c>
      <c r="E72" s="3" t="s">
        <v>6</v>
      </c>
      <c r="F72" s="3" t="s">
        <v>54</v>
      </c>
      <c r="G72" s="3" t="s">
        <v>51</v>
      </c>
      <c r="H72" s="3" t="s">
        <v>52</v>
      </c>
    </row>
    <row r="73" ht="15.75" customHeight="1">
      <c r="A73" s="9" t="s">
        <v>57</v>
      </c>
      <c r="B73" s="9" t="s">
        <v>132</v>
      </c>
      <c r="C73" s="9"/>
      <c r="D73" s="11">
        <v>85000.0</v>
      </c>
      <c r="E73" s="9" t="s">
        <v>267</v>
      </c>
      <c r="F73" s="9" t="s">
        <v>268</v>
      </c>
      <c r="G73" s="9"/>
      <c r="H73" s="11">
        <v>12000.0</v>
      </c>
    </row>
    <row r="74" ht="15.75" customHeight="1">
      <c r="A74" s="9" t="s">
        <v>269</v>
      </c>
      <c r="B74" s="9" t="s">
        <v>138</v>
      </c>
      <c r="C74" s="9"/>
      <c r="D74" s="11">
        <v>210000.0</v>
      </c>
      <c r="E74" s="9" t="s">
        <v>142</v>
      </c>
      <c r="F74" s="9" t="s">
        <v>270</v>
      </c>
      <c r="G74" s="9"/>
      <c r="H74" s="11">
        <v>8000.0</v>
      </c>
    </row>
    <row r="75" ht="15.75" customHeight="1">
      <c r="A75" s="9"/>
      <c r="B75" s="9"/>
      <c r="C75" s="9"/>
      <c r="D75" s="9"/>
      <c r="E75" s="9" t="s">
        <v>142</v>
      </c>
      <c r="F75" s="9" t="s">
        <v>198</v>
      </c>
      <c r="G75" s="9"/>
      <c r="H75" s="11">
        <v>250000.0</v>
      </c>
    </row>
    <row r="76" ht="15.75" customHeight="1">
      <c r="A76" s="9"/>
      <c r="B76" s="9"/>
      <c r="C76" s="9"/>
      <c r="D76" s="9"/>
      <c r="E76" s="9" t="s">
        <v>84</v>
      </c>
      <c r="F76" s="9" t="s">
        <v>200</v>
      </c>
      <c r="G76" s="9"/>
      <c r="H76" s="11">
        <v>25000.0</v>
      </c>
    </row>
    <row r="77" ht="15.75" customHeight="1">
      <c r="A77" s="9"/>
      <c r="B77" s="9"/>
      <c r="C77" s="9"/>
      <c r="D77" s="24">
        <f>SUM(D73:D76)</f>
        <v>295000</v>
      </c>
      <c r="E77" s="9"/>
      <c r="F77" s="9"/>
      <c r="G77" s="9"/>
      <c r="H77" s="24">
        <f>SUM(H73:H76)</f>
        <v>295000</v>
      </c>
    </row>
    <row r="78" ht="15.75" customHeight="1">
      <c r="A78" s="9" t="s">
        <v>119</v>
      </c>
      <c r="B78" s="9" t="s">
        <v>132</v>
      </c>
      <c r="C78" s="9"/>
      <c r="D78" s="11">
        <v>25000.0</v>
      </c>
      <c r="E78" s="9"/>
      <c r="F78" s="9"/>
      <c r="G78" s="9"/>
      <c r="H78" s="9"/>
    </row>
    <row r="79" ht="15.75" customHeight="1">
      <c r="A79" s="1"/>
      <c r="B79" s="1"/>
      <c r="C79" s="1"/>
      <c r="D79" s="26"/>
      <c r="E79" s="1"/>
      <c r="F79" s="1"/>
      <c r="G79" s="1"/>
      <c r="H79" s="1"/>
    </row>
    <row r="80" ht="15.75" customHeight="1">
      <c r="A80" s="4" t="s">
        <v>273</v>
      </c>
    </row>
    <row r="81" ht="15.75" customHeight="1">
      <c r="A81" s="15" t="s">
        <v>40</v>
      </c>
      <c r="B81" s="1"/>
      <c r="C81" s="1"/>
      <c r="D81" s="1"/>
      <c r="E81" s="1"/>
      <c r="F81" s="1"/>
      <c r="G81" s="1"/>
      <c r="H81" s="12" t="s">
        <v>46</v>
      </c>
    </row>
    <row r="82" ht="15.75" customHeight="1">
      <c r="A82" s="3" t="s">
        <v>6</v>
      </c>
      <c r="B82" s="3" t="s">
        <v>7</v>
      </c>
      <c r="C82" s="3" t="s">
        <v>51</v>
      </c>
      <c r="D82" s="3" t="s">
        <v>52</v>
      </c>
      <c r="E82" s="3" t="s">
        <v>6</v>
      </c>
      <c r="F82" s="3" t="s">
        <v>54</v>
      </c>
      <c r="G82" s="3" t="s">
        <v>51</v>
      </c>
      <c r="H82" s="3" t="s">
        <v>52</v>
      </c>
    </row>
    <row r="83" ht="15.75" customHeight="1">
      <c r="A83" s="9" t="s">
        <v>84</v>
      </c>
      <c r="B83" s="9" t="s">
        <v>86</v>
      </c>
      <c r="C83" s="9"/>
      <c r="D83" s="11">
        <v>440000.0</v>
      </c>
      <c r="E83" s="9" t="s">
        <v>269</v>
      </c>
      <c r="F83" s="9" t="s">
        <v>277</v>
      </c>
      <c r="G83" s="9"/>
      <c r="H83" s="11">
        <v>210000.0</v>
      </c>
    </row>
    <row r="84" ht="15.75" customHeight="1">
      <c r="A84" s="9"/>
      <c r="B84" s="9"/>
      <c r="C84" s="9"/>
      <c r="D84" s="9"/>
      <c r="E84" s="9" t="s">
        <v>136</v>
      </c>
      <c r="F84" s="9" t="s">
        <v>280</v>
      </c>
      <c r="G84" s="9"/>
      <c r="H84" s="11">
        <v>90000.0</v>
      </c>
    </row>
    <row r="85" ht="15.75" customHeight="1">
      <c r="A85" s="9"/>
      <c r="B85" s="9"/>
      <c r="C85" s="9"/>
      <c r="D85" s="9"/>
      <c r="E85" s="9" t="s">
        <v>283</v>
      </c>
      <c r="F85" s="9" t="s">
        <v>284</v>
      </c>
      <c r="G85" s="9"/>
      <c r="H85" s="11">
        <v>140000.0</v>
      </c>
    </row>
    <row r="86" ht="15.75" customHeight="1">
      <c r="A86" s="9"/>
      <c r="B86" s="9"/>
      <c r="C86" s="9"/>
      <c r="D86" s="9"/>
      <c r="E86" s="9"/>
      <c r="F86" s="9"/>
      <c r="G86" s="9"/>
      <c r="H86" s="9"/>
    </row>
    <row r="87" ht="15.75" customHeight="1">
      <c r="A87" s="9"/>
      <c r="B87" s="9"/>
      <c r="C87" s="9"/>
      <c r="D87" s="24">
        <f>SUM(D83:D86)</f>
        <v>440000</v>
      </c>
      <c r="E87" s="9"/>
      <c r="F87" s="9"/>
      <c r="G87" s="9"/>
      <c r="H87" s="24">
        <f>SUM(H83:H86)</f>
        <v>440000</v>
      </c>
    </row>
    <row r="88" ht="15.75" customHeight="1">
      <c r="A88" s="9"/>
      <c r="B88" s="9"/>
      <c r="C88" s="9"/>
      <c r="D88" s="9"/>
      <c r="E88" s="9" t="s">
        <v>119</v>
      </c>
      <c r="F88" s="9" t="s">
        <v>120</v>
      </c>
      <c r="G88" s="9"/>
      <c r="H88" s="11">
        <v>440000.0</v>
      </c>
    </row>
    <row r="89" ht="15.75" customHeight="1">
      <c r="A89" s="1"/>
      <c r="B89" s="1"/>
      <c r="C89" s="1"/>
      <c r="D89" s="1"/>
      <c r="E89" s="1"/>
      <c r="F89" s="1"/>
      <c r="G89" s="1"/>
      <c r="H89" s="26"/>
    </row>
    <row r="90" ht="15.75" customHeight="1">
      <c r="A90" s="4" t="s">
        <v>293</v>
      </c>
    </row>
    <row r="91" ht="15.75" customHeight="1">
      <c r="A91" s="15" t="s">
        <v>40</v>
      </c>
      <c r="B91" s="1"/>
      <c r="C91" s="1"/>
      <c r="D91" s="1"/>
      <c r="E91" s="1"/>
      <c r="F91" s="1"/>
      <c r="G91" s="1"/>
      <c r="H91" s="12" t="s">
        <v>46</v>
      </c>
    </row>
    <row r="92" ht="15.75" customHeight="1">
      <c r="A92" s="3" t="s">
        <v>6</v>
      </c>
      <c r="B92" s="3" t="s">
        <v>7</v>
      </c>
      <c r="C92" s="3" t="s">
        <v>51</v>
      </c>
      <c r="D92" s="3" t="s">
        <v>52</v>
      </c>
      <c r="E92" s="3" t="s">
        <v>6</v>
      </c>
      <c r="F92" s="3" t="s">
        <v>54</v>
      </c>
      <c r="G92" s="3" t="s">
        <v>51</v>
      </c>
      <c r="H92" s="3" t="s">
        <v>52</v>
      </c>
    </row>
    <row r="93" ht="15.75" customHeight="1">
      <c r="A93" s="9" t="s">
        <v>140</v>
      </c>
      <c r="B93" s="9" t="s">
        <v>233</v>
      </c>
      <c r="C93" s="9"/>
      <c r="D93" s="11">
        <v>6000.0</v>
      </c>
      <c r="E93" s="9" t="s">
        <v>84</v>
      </c>
      <c r="F93" s="9" t="s">
        <v>200</v>
      </c>
      <c r="G93" s="9"/>
      <c r="H93" s="11">
        <v>6000.0</v>
      </c>
    </row>
    <row r="94" ht="15.75" customHeight="1">
      <c r="A94" s="9"/>
      <c r="B94" s="9"/>
      <c r="C94" s="9"/>
      <c r="D94" s="9"/>
      <c r="E94" s="9"/>
      <c r="F94" s="9"/>
      <c r="G94" s="9"/>
      <c r="H94" s="9"/>
    </row>
    <row r="95" ht="15.75" customHeight="1">
      <c r="A95" s="9"/>
      <c r="B95" s="9"/>
      <c r="C95" s="9"/>
      <c r="D95" s="24">
        <v>6000.0</v>
      </c>
      <c r="E95" s="9"/>
      <c r="F95" s="9"/>
      <c r="G95" s="9"/>
      <c r="H95" s="24">
        <v>6000.0</v>
      </c>
    </row>
    <row r="96" ht="15.75" customHeight="1">
      <c r="A96" s="9" t="s">
        <v>119</v>
      </c>
      <c r="B96" s="9" t="s">
        <v>132</v>
      </c>
      <c r="C96" s="9"/>
      <c r="D96" s="11">
        <v>6000.0</v>
      </c>
      <c r="E96" s="9"/>
      <c r="F96" s="9"/>
      <c r="G96" s="9"/>
      <c r="H96" s="9"/>
    </row>
    <row r="97" ht="15.75" customHeight="1">
      <c r="A97" s="1"/>
      <c r="B97" s="1"/>
      <c r="C97" s="1"/>
      <c r="D97" s="26"/>
      <c r="E97" s="1"/>
      <c r="F97" s="1"/>
      <c r="G97" s="1"/>
      <c r="H97" s="1"/>
    </row>
    <row r="98" ht="15.75" customHeight="1">
      <c r="A98" s="4" t="s">
        <v>299</v>
      </c>
    </row>
    <row r="99" ht="15.75" customHeight="1">
      <c r="A99" s="15" t="s">
        <v>40</v>
      </c>
      <c r="B99" s="1"/>
      <c r="C99" s="1"/>
      <c r="D99" s="1"/>
      <c r="E99" s="1"/>
      <c r="F99" s="1"/>
      <c r="G99" s="1"/>
      <c r="H99" s="12" t="s">
        <v>46</v>
      </c>
    </row>
    <row r="100" ht="15.75" customHeight="1">
      <c r="A100" s="3" t="s">
        <v>6</v>
      </c>
      <c r="B100" s="3" t="s">
        <v>7</v>
      </c>
      <c r="C100" s="3" t="s">
        <v>51</v>
      </c>
      <c r="D100" s="3" t="s">
        <v>52</v>
      </c>
      <c r="E100" s="3" t="s">
        <v>6</v>
      </c>
      <c r="F100" s="3" t="s">
        <v>54</v>
      </c>
      <c r="G100" s="3" t="s">
        <v>51</v>
      </c>
      <c r="H100" s="3" t="s">
        <v>52</v>
      </c>
    </row>
    <row r="101" ht="15.75" customHeight="1">
      <c r="A101" s="9" t="s">
        <v>146</v>
      </c>
      <c r="B101" s="9" t="s">
        <v>233</v>
      </c>
      <c r="C101" s="9"/>
      <c r="D101" s="11">
        <v>18000.0</v>
      </c>
      <c r="E101" s="9" t="s">
        <v>84</v>
      </c>
      <c r="F101" s="9" t="s">
        <v>200</v>
      </c>
      <c r="G101" s="9"/>
      <c r="H101" s="11">
        <v>18000.0</v>
      </c>
    </row>
    <row r="102" ht="15.75" customHeight="1">
      <c r="A102" s="9"/>
      <c r="B102" s="9"/>
      <c r="C102" s="9"/>
      <c r="D102" s="9"/>
      <c r="E102" s="9"/>
      <c r="F102" s="9"/>
      <c r="G102" s="9"/>
      <c r="H102" s="9"/>
    </row>
    <row r="103" ht="15.75" customHeight="1">
      <c r="A103" s="9"/>
      <c r="B103" s="9"/>
      <c r="C103" s="9"/>
      <c r="D103" s="24">
        <v>18000.0</v>
      </c>
      <c r="E103" s="9"/>
      <c r="F103" s="9"/>
      <c r="G103" s="9"/>
      <c r="H103" s="24">
        <v>18000.0</v>
      </c>
    </row>
    <row r="104" ht="15.75" customHeight="1">
      <c r="A104" s="9" t="s">
        <v>119</v>
      </c>
      <c r="B104" s="9" t="s">
        <v>132</v>
      </c>
      <c r="C104" s="9"/>
      <c r="D104" s="11">
        <v>18000.0</v>
      </c>
      <c r="E104" s="9"/>
      <c r="F104" s="9"/>
      <c r="G104" s="9"/>
      <c r="H104" s="9"/>
    </row>
    <row r="105" ht="15.75" customHeight="1">
      <c r="A105" s="1"/>
      <c r="B105" s="1"/>
      <c r="C105" s="1"/>
      <c r="D105" s="26"/>
      <c r="E105" s="1"/>
      <c r="F105" s="1"/>
      <c r="G105" s="1"/>
      <c r="H105" s="1"/>
    </row>
    <row r="106" ht="15.75" customHeight="1">
      <c r="A106" s="4" t="s">
        <v>300</v>
      </c>
    </row>
    <row r="107" ht="15.75" customHeight="1">
      <c r="A107" s="15" t="s">
        <v>40</v>
      </c>
      <c r="B107" s="1"/>
      <c r="C107" s="1"/>
      <c r="D107" s="1"/>
      <c r="E107" s="1"/>
      <c r="F107" s="1"/>
      <c r="G107" s="1"/>
      <c r="H107" s="12" t="s">
        <v>46</v>
      </c>
    </row>
    <row r="108" ht="15.75" customHeight="1">
      <c r="A108" s="3" t="s">
        <v>6</v>
      </c>
      <c r="B108" s="3" t="s">
        <v>7</v>
      </c>
      <c r="C108" s="3" t="s">
        <v>51</v>
      </c>
      <c r="D108" s="3" t="s">
        <v>52</v>
      </c>
      <c r="E108" s="3" t="s">
        <v>6</v>
      </c>
      <c r="F108" s="3" t="s">
        <v>54</v>
      </c>
      <c r="G108" s="3" t="s">
        <v>51</v>
      </c>
      <c r="H108" s="3" t="s">
        <v>52</v>
      </c>
    </row>
    <row r="109" ht="15.75" customHeight="1">
      <c r="A109" s="9" t="s">
        <v>84</v>
      </c>
      <c r="B109" s="9" t="s">
        <v>86</v>
      </c>
      <c r="C109" s="9"/>
      <c r="D109" s="11">
        <v>15000.0</v>
      </c>
      <c r="E109" s="9" t="s">
        <v>263</v>
      </c>
      <c r="F109" s="9" t="s">
        <v>301</v>
      </c>
      <c r="G109" s="9"/>
      <c r="H109" s="11">
        <v>15000.0</v>
      </c>
    </row>
    <row r="110" ht="15.75" customHeight="1">
      <c r="A110" s="9"/>
      <c r="B110" s="9"/>
      <c r="C110" s="9"/>
      <c r="D110" s="9"/>
      <c r="E110" s="9"/>
      <c r="F110" s="9"/>
      <c r="G110" s="9"/>
      <c r="H110" s="9"/>
    </row>
    <row r="111" ht="15.75" customHeight="1">
      <c r="A111" s="9"/>
      <c r="B111" s="9"/>
      <c r="C111" s="9"/>
      <c r="D111" s="24">
        <v>15000.0</v>
      </c>
      <c r="E111" s="9"/>
      <c r="F111" s="9"/>
      <c r="G111" s="9"/>
      <c r="H111" s="24">
        <v>15000.0</v>
      </c>
    </row>
    <row r="112" ht="15.75" customHeight="1">
      <c r="A112" s="9"/>
      <c r="B112" s="9"/>
      <c r="C112" s="9"/>
      <c r="D112" s="9"/>
      <c r="E112" s="9" t="s">
        <v>119</v>
      </c>
      <c r="F112" s="9" t="s">
        <v>120</v>
      </c>
      <c r="G112" s="9"/>
      <c r="H112" s="11">
        <v>15000.0</v>
      </c>
    </row>
    <row r="113" ht="15.75" customHeight="1">
      <c r="A113" s="1"/>
      <c r="B113" s="1"/>
      <c r="C113" s="1"/>
      <c r="D113" s="1"/>
      <c r="E113" s="1"/>
      <c r="F113" s="1"/>
      <c r="G113" s="1"/>
      <c r="H113" s="26"/>
    </row>
    <row r="114" ht="15.75" customHeight="1">
      <c r="A114" s="4" t="s">
        <v>302</v>
      </c>
    </row>
    <row r="115" ht="15.75" customHeight="1">
      <c r="A115" s="15" t="s">
        <v>40</v>
      </c>
      <c r="B115" s="1"/>
      <c r="C115" s="1"/>
      <c r="D115" s="1"/>
      <c r="E115" s="1"/>
      <c r="F115" s="1"/>
      <c r="G115" s="1"/>
      <c r="H115" s="12" t="s">
        <v>46</v>
      </c>
    </row>
    <row r="116" ht="15.75" customHeight="1">
      <c r="A116" s="3" t="s">
        <v>6</v>
      </c>
      <c r="B116" s="3" t="s">
        <v>7</v>
      </c>
      <c r="C116" s="3" t="s">
        <v>51</v>
      </c>
      <c r="D116" s="3" t="s">
        <v>52</v>
      </c>
      <c r="E116" s="3" t="s">
        <v>6</v>
      </c>
      <c r="F116" s="3" t="s">
        <v>54</v>
      </c>
      <c r="G116" s="3" t="s">
        <v>51</v>
      </c>
      <c r="H116" s="3" t="s">
        <v>52</v>
      </c>
    </row>
    <row r="117" ht="15.75" customHeight="1">
      <c r="A117" s="9" t="s">
        <v>267</v>
      </c>
      <c r="B117" s="9" t="s">
        <v>143</v>
      </c>
      <c r="C117" s="9"/>
      <c r="D117" s="11">
        <v>12000.0</v>
      </c>
      <c r="E117" s="9" t="s">
        <v>84</v>
      </c>
      <c r="F117" s="9" t="s">
        <v>200</v>
      </c>
      <c r="G117" s="9"/>
      <c r="H117" s="11">
        <v>12000.0</v>
      </c>
    </row>
    <row r="118" ht="15.75" customHeight="1">
      <c r="A118" s="9"/>
      <c r="B118" s="9"/>
      <c r="C118" s="9"/>
      <c r="D118" s="9"/>
      <c r="E118" s="9"/>
      <c r="F118" s="9"/>
      <c r="G118" s="9"/>
      <c r="H118" s="9"/>
    </row>
    <row r="119" ht="15.75" customHeight="1">
      <c r="A119" s="9"/>
      <c r="B119" s="9"/>
      <c r="C119" s="9"/>
      <c r="D119" s="24">
        <v>12000.0</v>
      </c>
      <c r="E119" s="9"/>
      <c r="F119" s="9"/>
      <c r="G119" s="9"/>
      <c r="H119" s="24">
        <v>12000.0</v>
      </c>
    </row>
    <row r="120" ht="15.75" customHeight="1">
      <c r="A120" s="9" t="s">
        <v>119</v>
      </c>
      <c r="B120" s="9" t="s">
        <v>132</v>
      </c>
      <c r="C120" s="9"/>
      <c r="D120" s="11">
        <v>12000.0</v>
      </c>
      <c r="E120" s="9"/>
      <c r="F120" s="9"/>
      <c r="G120" s="9"/>
      <c r="H120" s="9"/>
    </row>
    <row r="121" ht="15.75" customHeight="1">
      <c r="A121" s="1"/>
      <c r="B121" s="1"/>
      <c r="C121" s="1"/>
      <c r="D121" s="26"/>
      <c r="E121" s="1"/>
      <c r="F121" s="1"/>
      <c r="G121" s="1"/>
      <c r="H121" s="1"/>
    </row>
    <row r="122" ht="15.75" customHeight="1">
      <c r="A122" s="4" t="s">
        <v>303</v>
      </c>
    </row>
    <row r="123" ht="15.75" customHeight="1">
      <c r="A123" s="15" t="s">
        <v>40</v>
      </c>
      <c r="B123" s="1"/>
      <c r="C123" s="1"/>
      <c r="D123" s="1"/>
      <c r="E123" s="1"/>
      <c r="F123" s="1"/>
      <c r="G123" s="1"/>
      <c r="H123" s="12" t="s">
        <v>46</v>
      </c>
    </row>
    <row r="124" ht="15.75" customHeight="1">
      <c r="A124" s="3" t="s">
        <v>6</v>
      </c>
      <c r="B124" s="3" t="s">
        <v>7</v>
      </c>
      <c r="C124" s="3" t="s">
        <v>51</v>
      </c>
      <c r="D124" s="3" t="s">
        <v>52</v>
      </c>
      <c r="E124" s="3" t="s">
        <v>6</v>
      </c>
      <c r="F124" s="3" t="s">
        <v>54</v>
      </c>
      <c r="G124" s="3" t="s">
        <v>51</v>
      </c>
      <c r="H124" s="3" t="s">
        <v>52</v>
      </c>
    </row>
    <row r="125" ht="15.75" customHeight="1">
      <c r="A125" s="9" t="s">
        <v>222</v>
      </c>
      <c r="B125" s="9" t="s">
        <v>155</v>
      </c>
      <c r="C125" s="9"/>
      <c r="D125" s="11">
        <v>60000.0</v>
      </c>
      <c r="E125" s="9" t="s">
        <v>84</v>
      </c>
      <c r="F125" s="9" t="s">
        <v>200</v>
      </c>
      <c r="G125" s="9"/>
      <c r="H125" s="11">
        <v>60000.0</v>
      </c>
    </row>
    <row r="126" ht="15.75" customHeight="1">
      <c r="A126" s="9"/>
      <c r="B126" s="9"/>
      <c r="C126" s="9"/>
      <c r="D126" s="9"/>
      <c r="E126" s="9"/>
      <c r="F126" s="9"/>
      <c r="G126" s="9"/>
      <c r="H126" s="9"/>
    </row>
    <row r="127" ht="15.75" customHeight="1">
      <c r="A127" s="9"/>
      <c r="B127" s="9"/>
      <c r="C127" s="9"/>
      <c r="D127" s="24">
        <v>60000.0</v>
      </c>
      <c r="E127" s="9"/>
      <c r="F127" s="9"/>
      <c r="G127" s="9"/>
      <c r="H127" s="24">
        <v>60000.0</v>
      </c>
    </row>
    <row r="128" ht="15.75" customHeight="1">
      <c r="A128" s="9" t="s">
        <v>119</v>
      </c>
      <c r="B128" s="9" t="s">
        <v>132</v>
      </c>
      <c r="C128" s="9"/>
      <c r="D128" s="11">
        <v>60000.0</v>
      </c>
      <c r="E128" s="9"/>
      <c r="F128" s="9"/>
      <c r="G128" s="9"/>
      <c r="H128" s="9"/>
    </row>
    <row r="129" ht="15.75" customHeight="1">
      <c r="A129" s="1"/>
      <c r="B129" s="1"/>
      <c r="C129" s="1"/>
      <c r="D129" s="26"/>
      <c r="E129" s="1"/>
      <c r="F129" s="1"/>
      <c r="G129" s="1"/>
      <c r="H129" s="1"/>
    </row>
    <row r="130" ht="15.75" customHeight="1">
      <c r="A130" s="4" t="s">
        <v>307</v>
      </c>
    </row>
    <row r="131" ht="15.75" customHeight="1">
      <c r="A131" s="15" t="s">
        <v>40</v>
      </c>
      <c r="B131" s="1"/>
      <c r="C131" s="1"/>
      <c r="D131" s="1"/>
      <c r="E131" s="1"/>
      <c r="F131" s="1"/>
      <c r="G131" s="1"/>
      <c r="H131" s="12" t="s">
        <v>46</v>
      </c>
    </row>
    <row r="132" ht="15.75" customHeight="1">
      <c r="A132" s="3" t="s">
        <v>6</v>
      </c>
      <c r="B132" s="3" t="s">
        <v>7</v>
      </c>
      <c r="C132" s="3" t="s">
        <v>51</v>
      </c>
      <c r="D132" s="3" t="s">
        <v>52</v>
      </c>
      <c r="E132" s="3" t="s">
        <v>6</v>
      </c>
      <c r="F132" s="3" t="s">
        <v>54</v>
      </c>
      <c r="G132" s="3" t="s">
        <v>51</v>
      </c>
      <c r="H132" s="3" t="s">
        <v>52</v>
      </c>
    </row>
    <row r="133" ht="15.75" customHeight="1">
      <c r="A133" s="9" t="s">
        <v>151</v>
      </c>
      <c r="B133" s="9" t="s">
        <v>233</v>
      </c>
      <c r="C133" s="9"/>
      <c r="D133" s="11">
        <v>28000.0</v>
      </c>
      <c r="E133" s="9" t="s">
        <v>84</v>
      </c>
      <c r="F133" s="9" t="s">
        <v>200</v>
      </c>
      <c r="G133" s="9"/>
      <c r="H133" s="11">
        <v>28000.0</v>
      </c>
    </row>
    <row r="134" ht="15.75" customHeight="1">
      <c r="A134" s="9"/>
      <c r="B134" s="9"/>
      <c r="C134" s="9"/>
      <c r="D134" s="9"/>
      <c r="E134" s="9"/>
      <c r="F134" s="9"/>
      <c r="G134" s="9"/>
      <c r="H134" s="9"/>
    </row>
    <row r="135" ht="15.75" customHeight="1">
      <c r="A135" s="9"/>
      <c r="B135" s="9"/>
      <c r="C135" s="9"/>
      <c r="D135" s="24">
        <v>28000.0</v>
      </c>
      <c r="E135" s="9"/>
      <c r="F135" s="9"/>
      <c r="G135" s="9"/>
      <c r="H135" s="24">
        <v>28000.0</v>
      </c>
    </row>
    <row r="136" ht="15.75" customHeight="1">
      <c r="A136" s="9" t="s">
        <v>119</v>
      </c>
      <c r="B136" s="9" t="s">
        <v>132</v>
      </c>
      <c r="C136" s="9"/>
      <c r="D136" s="11">
        <v>28000.0</v>
      </c>
      <c r="E136" s="9"/>
      <c r="F136" s="9"/>
      <c r="G136" s="9"/>
      <c r="H136" s="9"/>
    </row>
    <row r="137" ht="15.75" customHeight="1">
      <c r="A137" s="1"/>
      <c r="B137" s="1"/>
      <c r="C137" s="1"/>
      <c r="D137" s="26"/>
      <c r="E137" s="1"/>
      <c r="F137" s="1"/>
      <c r="G137" s="1"/>
      <c r="H137" s="1"/>
    </row>
    <row r="138" ht="15.75" customHeight="1">
      <c r="A138" s="4" t="s">
        <v>317</v>
      </c>
    </row>
    <row r="139" ht="15.75" customHeight="1">
      <c r="A139" s="15" t="s">
        <v>40</v>
      </c>
      <c r="B139" s="1"/>
      <c r="C139" s="1"/>
      <c r="D139" s="1"/>
      <c r="E139" s="1"/>
      <c r="F139" s="1"/>
      <c r="G139" s="1"/>
      <c r="H139" s="12" t="s">
        <v>46</v>
      </c>
    </row>
    <row r="140" ht="15.75" customHeight="1">
      <c r="A140" s="3" t="s">
        <v>6</v>
      </c>
      <c r="B140" s="3" t="s">
        <v>7</v>
      </c>
      <c r="C140" s="3" t="s">
        <v>51</v>
      </c>
      <c r="D140" s="3" t="s">
        <v>52</v>
      </c>
      <c r="E140" s="3" t="s">
        <v>6</v>
      </c>
      <c r="F140" s="3" t="s">
        <v>54</v>
      </c>
      <c r="G140" s="3" t="s">
        <v>51</v>
      </c>
      <c r="H140" s="3" t="s">
        <v>52</v>
      </c>
    </row>
    <row r="141" ht="15.75" customHeight="1">
      <c r="A141" s="9" t="s">
        <v>142</v>
      </c>
      <c r="B141" s="9" t="s">
        <v>143</v>
      </c>
      <c r="C141" s="9"/>
      <c r="D141" s="11">
        <v>8000.0</v>
      </c>
      <c r="E141" s="9" t="s">
        <v>84</v>
      </c>
      <c r="F141" s="9" t="s">
        <v>200</v>
      </c>
      <c r="G141" s="9"/>
      <c r="H141" s="11">
        <v>8000.0</v>
      </c>
    </row>
    <row r="142" ht="15.75" customHeight="1">
      <c r="A142" s="9"/>
      <c r="B142" s="9"/>
      <c r="C142" s="9"/>
      <c r="D142" s="9"/>
      <c r="E142" s="9"/>
      <c r="F142" s="9"/>
      <c r="G142" s="9"/>
      <c r="H142" s="9"/>
    </row>
    <row r="143" ht="15.75" customHeight="1">
      <c r="A143" s="9"/>
      <c r="B143" s="9"/>
      <c r="C143" s="9"/>
      <c r="D143" s="24">
        <v>8000.0</v>
      </c>
      <c r="E143" s="9"/>
      <c r="F143" s="9"/>
      <c r="G143" s="9"/>
      <c r="H143" s="24">
        <v>8000.0</v>
      </c>
    </row>
    <row r="144" ht="15.75" customHeight="1">
      <c r="A144" s="9" t="s">
        <v>119</v>
      </c>
      <c r="B144" s="9" t="s">
        <v>132</v>
      </c>
      <c r="C144" s="9"/>
      <c r="D144" s="11">
        <v>8000.0</v>
      </c>
      <c r="E144" s="9"/>
      <c r="F144" s="9"/>
      <c r="G144" s="9"/>
      <c r="H144" s="9"/>
    </row>
    <row r="145" ht="15.75" customHeight="1">
      <c r="A145" s="1"/>
      <c r="B145" s="1"/>
      <c r="C145" s="1"/>
      <c r="D145" s="26"/>
      <c r="E145" s="1"/>
      <c r="F145" s="1"/>
      <c r="G145" s="1"/>
      <c r="H145" s="1"/>
    </row>
    <row r="146" ht="15.75" customHeight="1">
      <c r="A146" s="4" t="s">
        <v>327</v>
      </c>
    </row>
    <row r="147" ht="15.75" customHeight="1">
      <c r="A147" s="15" t="s">
        <v>40</v>
      </c>
      <c r="B147" s="1"/>
      <c r="C147" s="1"/>
      <c r="D147" s="1"/>
      <c r="E147" s="1"/>
      <c r="F147" s="1"/>
      <c r="G147" s="1"/>
      <c r="H147" s="12" t="s">
        <v>46</v>
      </c>
    </row>
    <row r="148" ht="15.75" customHeight="1">
      <c r="A148" s="3" t="s">
        <v>6</v>
      </c>
      <c r="B148" s="3" t="s">
        <v>7</v>
      </c>
      <c r="C148" s="3" t="s">
        <v>51</v>
      </c>
      <c r="D148" s="3" t="s">
        <v>52</v>
      </c>
      <c r="E148" s="3" t="s">
        <v>6</v>
      </c>
      <c r="F148" s="3" t="s">
        <v>54</v>
      </c>
      <c r="G148" s="3" t="s">
        <v>51</v>
      </c>
      <c r="H148" s="3" t="s">
        <v>52</v>
      </c>
    </row>
    <row r="149" ht="15.75" customHeight="1">
      <c r="A149" s="9" t="s">
        <v>84</v>
      </c>
      <c r="B149" s="9" t="s">
        <v>86</v>
      </c>
      <c r="C149" s="9"/>
      <c r="D149" s="11">
        <v>10000.0</v>
      </c>
      <c r="E149" s="9" t="s">
        <v>226</v>
      </c>
      <c r="F149" s="9" t="s">
        <v>301</v>
      </c>
      <c r="G149" s="9"/>
      <c r="H149" s="11">
        <v>10000.0</v>
      </c>
    </row>
    <row r="150" ht="15.75" customHeight="1">
      <c r="A150" s="9"/>
      <c r="B150" s="9"/>
      <c r="C150" s="9"/>
      <c r="D150" s="9"/>
      <c r="E150" s="9"/>
      <c r="F150" s="9"/>
      <c r="G150" s="9"/>
      <c r="H150" s="9"/>
    </row>
    <row r="151" ht="15.75" customHeight="1">
      <c r="A151" s="9"/>
      <c r="B151" s="9"/>
      <c r="C151" s="9"/>
      <c r="D151" s="24">
        <v>10000.0</v>
      </c>
      <c r="E151" s="9"/>
      <c r="F151" s="9"/>
      <c r="G151" s="9"/>
      <c r="H151" s="24">
        <v>10000.0</v>
      </c>
    </row>
    <row r="152" ht="15.75" customHeight="1">
      <c r="A152" s="9"/>
      <c r="B152" s="9"/>
      <c r="C152" s="9"/>
      <c r="D152" s="9"/>
      <c r="E152" s="9" t="s">
        <v>119</v>
      </c>
      <c r="F152" s="9" t="s">
        <v>120</v>
      </c>
      <c r="G152" s="9"/>
      <c r="H152" s="11">
        <v>10000.0</v>
      </c>
    </row>
    <row r="153" ht="15.75" customHeight="1">
      <c r="A153" s="1"/>
      <c r="B153" s="1"/>
      <c r="C153" s="1"/>
      <c r="D153" s="1"/>
      <c r="E153" s="1"/>
      <c r="F153" s="1"/>
      <c r="G153" s="1"/>
      <c r="H153" s="26"/>
    </row>
    <row r="154" ht="15.75" customHeight="1">
      <c r="A154" s="4" t="s">
        <v>332</v>
      </c>
    </row>
    <row r="155" ht="15.75" customHeight="1">
      <c r="A155" s="15" t="s">
        <v>40</v>
      </c>
      <c r="B155" s="1"/>
      <c r="C155" s="1"/>
      <c r="D155" s="1"/>
      <c r="E155" s="1"/>
      <c r="F155" s="1"/>
      <c r="G155" s="1"/>
      <c r="H155" s="12" t="s">
        <v>46</v>
      </c>
    </row>
    <row r="156" ht="15.75" customHeight="1">
      <c r="A156" s="3" t="s">
        <v>6</v>
      </c>
      <c r="B156" s="3" t="s">
        <v>7</v>
      </c>
      <c r="C156" s="3" t="s">
        <v>51</v>
      </c>
      <c r="D156" s="3" t="s">
        <v>52</v>
      </c>
      <c r="E156" s="3" t="s">
        <v>6</v>
      </c>
      <c r="F156" s="3" t="s">
        <v>54</v>
      </c>
      <c r="G156" s="3" t="s">
        <v>51</v>
      </c>
      <c r="H156" s="3" t="s">
        <v>52</v>
      </c>
    </row>
    <row r="157" ht="15.75" customHeight="1">
      <c r="A157" s="9" t="s">
        <v>157</v>
      </c>
      <c r="B157" s="9" t="s">
        <v>233</v>
      </c>
      <c r="C157" s="9"/>
      <c r="D157" s="11">
        <v>22000.0</v>
      </c>
      <c r="E157" s="9" t="s">
        <v>84</v>
      </c>
      <c r="F157" s="9" t="s">
        <v>200</v>
      </c>
      <c r="G157" s="9"/>
      <c r="H157" s="11">
        <v>22000.0</v>
      </c>
    </row>
    <row r="158" ht="15.75" customHeight="1">
      <c r="A158" s="9"/>
      <c r="B158" s="9"/>
      <c r="C158" s="9"/>
      <c r="D158" s="9"/>
      <c r="E158" s="9"/>
      <c r="F158" s="9"/>
      <c r="G158" s="9"/>
      <c r="H158" s="9"/>
    </row>
    <row r="159" ht="15.75" customHeight="1">
      <c r="A159" s="9"/>
      <c r="B159" s="9"/>
      <c r="C159" s="9"/>
      <c r="D159" s="24">
        <v>22000.0</v>
      </c>
      <c r="E159" s="9"/>
      <c r="F159" s="9"/>
      <c r="G159" s="9"/>
      <c r="H159" s="24">
        <v>22000.0</v>
      </c>
    </row>
    <row r="160" ht="15.75" customHeight="1">
      <c r="A160" s="9" t="s">
        <v>119</v>
      </c>
      <c r="B160" s="9" t="s">
        <v>132</v>
      </c>
      <c r="C160" s="9"/>
      <c r="D160" s="11">
        <v>22000.0</v>
      </c>
      <c r="E160" s="9"/>
      <c r="F160" s="9"/>
      <c r="G160" s="9"/>
      <c r="H160" s="9"/>
    </row>
    <row r="161" ht="15.75" customHeight="1">
      <c r="A161" s="1"/>
      <c r="B161" s="1"/>
      <c r="C161" s="1"/>
      <c r="D161" s="26"/>
      <c r="E161" s="1"/>
      <c r="F161" s="1"/>
      <c r="G161" s="1"/>
      <c r="H161" s="1"/>
    </row>
    <row r="162" ht="15.75" customHeight="1">
      <c r="A162" s="4" t="s">
        <v>334</v>
      </c>
    </row>
    <row r="163" ht="15.75" customHeight="1">
      <c r="A163" s="15" t="s">
        <v>40</v>
      </c>
      <c r="B163" s="1"/>
      <c r="C163" s="1"/>
      <c r="D163" s="1"/>
      <c r="E163" s="1"/>
      <c r="F163" s="1"/>
      <c r="G163" s="1"/>
      <c r="H163" s="12" t="s">
        <v>46</v>
      </c>
    </row>
    <row r="164" ht="15.75" customHeight="1">
      <c r="A164" s="3" t="s">
        <v>6</v>
      </c>
      <c r="B164" s="3" t="s">
        <v>7</v>
      </c>
      <c r="C164" s="3" t="s">
        <v>51</v>
      </c>
      <c r="D164" s="3" t="s">
        <v>52</v>
      </c>
      <c r="E164" s="3" t="s">
        <v>6</v>
      </c>
      <c r="F164" s="3" t="s">
        <v>54</v>
      </c>
      <c r="G164" s="3" t="s">
        <v>51</v>
      </c>
      <c r="H164" s="3" t="s">
        <v>52</v>
      </c>
    </row>
    <row r="165" ht="15.75" customHeight="1">
      <c r="A165" s="9" t="s">
        <v>84</v>
      </c>
      <c r="B165" s="9" t="s">
        <v>86</v>
      </c>
      <c r="C165" s="9"/>
      <c r="D165" s="11">
        <v>150000.0</v>
      </c>
      <c r="E165" s="9" t="s">
        <v>57</v>
      </c>
      <c r="F165" s="9" t="s">
        <v>120</v>
      </c>
      <c r="G165" s="9"/>
      <c r="H165" s="11">
        <v>55000.0</v>
      </c>
    </row>
    <row r="166" ht="15.75" customHeight="1">
      <c r="A166" s="9"/>
      <c r="B166" s="9"/>
      <c r="C166" s="9"/>
      <c r="D166" s="9"/>
      <c r="E166" s="9" t="s">
        <v>254</v>
      </c>
      <c r="F166" s="9" t="s">
        <v>135</v>
      </c>
      <c r="G166" s="9"/>
      <c r="H166" s="11">
        <v>95000.0</v>
      </c>
    </row>
    <row r="167" ht="15.75" customHeight="1">
      <c r="A167" s="9"/>
      <c r="B167" s="9"/>
      <c r="C167" s="9"/>
      <c r="D167" s="24">
        <v>150000.0</v>
      </c>
      <c r="E167" s="9"/>
      <c r="F167" s="9"/>
      <c r="G167" s="9"/>
      <c r="H167" s="24">
        <v>150000.0</v>
      </c>
    </row>
    <row r="168" ht="15.75" customHeight="1">
      <c r="A168" s="9"/>
      <c r="B168" s="9"/>
      <c r="C168" s="9"/>
      <c r="D168" s="9"/>
      <c r="E168" s="9" t="s">
        <v>119</v>
      </c>
      <c r="F168" s="9" t="s">
        <v>120</v>
      </c>
      <c r="G168" s="9"/>
      <c r="H168" s="11">
        <v>150000.0</v>
      </c>
    </row>
    <row r="169" ht="15.75" customHeight="1">
      <c r="A169" s="1"/>
      <c r="B169" s="1"/>
      <c r="C169" s="1"/>
      <c r="D169" s="1"/>
      <c r="E169" s="1"/>
      <c r="F169" s="1"/>
      <c r="G169" s="1"/>
      <c r="H169" s="26"/>
    </row>
    <row r="170" ht="15.75" customHeight="1">
      <c r="A170" s="4" t="s">
        <v>337</v>
      </c>
    </row>
    <row r="171" ht="15.75" customHeight="1">
      <c r="A171" s="15" t="s">
        <v>40</v>
      </c>
      <c r="B171" s="1"/>
      <c r="C171" s="1"/>
      <c r="D171" s="1"/>
      <c r="E171" s="1"/>
      <c r="F171" s="1"/>
      <c r="G171" s="1"/>
      <c r="H171" s="12" t="s">
        <v>46</v>
      </c>
    </row>
    <row r="172" ht="15.75" customHeight="1">
      <c r="A172" s="3" t="s">
        <v>6</v>
      </c>
      <c r="B172" s="3" t="s">
        <v>7</v>
      </c>
      <c r="C172" s="3" t="s">
        <v>51</v>
      </c>
      <c r="D172" s="3" t="s">
        <v>52</v>
      </c>
      <c r="E172" s="3" t="s">
        <v>6</v>
      </c>
      <c r="F172" s="3" t="s">
        <v>54</v>
      </c>
      <c r="G172" s="3" t="s">
        <v>51</v>
      </c>
      <c r="H172" s="3" t="s">
        <v>52</v>
      </c>
    </row>
    <row r="173" ht="15.75" customHeight="1">
      <c r="A173" s="9" t="s">
        <v>57</v>
      </c>
      <c r="B173" s="9" t="s">
        <v>132</v>
      </c>
      <c r="C173" s="9"/>
      <c r="D173" s="11">
        <v>60000.0</v>
      </c>
      <c r="E173" s="9" t="s">
        <v>223</v>
      </c>
      <c r="F173" s="9" t="s">
        <v>198</v>
      </c>
      <c r="G173" s="9"/>
      <c r="H173" s="11">
        <v>125000.0</v>
      </c>
    </row>
    <row r="174" ht="15.75" customHeight="1">
      <c r="A174" s="9" t="s">
        <v>283</v>
      </c>
      <c r="B174" s="9" t="s">
        <v>138</v>
      </c>
      <c r="C174" s="9"/>
      <c r="D174" s="11">
        <v>140000.0</v>
      </c>
      <c r="E174" s="9" t="s">
        <v>84</v>
      </c>
      <c r="F174" s="9" t="s">
        <v>200</v>
      </c>
      <c r="G174" s="9"/>
      <c r="H174" s="11">
        <v>75000.0</v>
      </c>
    </row>
    <row r="175" ht="15.75" customHeight="1">
      <c r="A175" s="9"/>
      <c r="B175" s="9"/>
      <c r="C175" s="9"/>
      <c r="D175" s="9"/>
      <c r="E175" s="9"/>
      <c r="F175" s="9"/>
      <c r="G175" s="9"/>
      <c r="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</row>
    <row r="177" ht="15.75" customHeight="1">
      <c r="A177" s="9"/>
      <c r="B177" s="9"/>
      <c r="C177" s="9"/>
      <c r="D177" s="24">
        <v>200000.0</v>
      </c>
      <c r="E177" s="9"/>
      <c r="F177" s="9"/>
      <c r="G177" s="9"/>
      <c r="H177" s="24">
        <v>200000.0</v>
      </c>
    </row>
    <row r="178" ht="15.75" customHeight="1">
      <c r="A178" s="9" t="s">
        <v>119</v>
      </c>
      <c r="B178" s="9" t="s">
        <v>132</v>
      </c>
      <c r="C178" s="9"/>
      <c r="D178" s="11">
        <v>75000.0</v>
      </c>
      <c r="E178" s="9"/>
      <c r="F178" s="9"/>
      <c r="G178" s="9"/>
      <c r="H178" s="9"/>
    </row>
    <row r="179" ht="15.75" customHeight="1">
      <c r="A179" s="1"/>
      <c r="B179" s="1"/>
      <c r="C179" s="1"/>
      <c r="D179" s="26"/>
      <c r="E179" s="1"/>
      <c r="F179" s="1"/>
      <c r="G179" s="1"/>
      <c r="H179" s="1"/>
    </row>
    <row r="180" ht="15.75" customHeight="1">
      <c r="A180" s="4" t="s">
        <v>341</v>
      </c>
    </row>
    <row r="181" ht="15.75" customHeight="1">
      <c r="A181" s="15" t="s">
        <v>40</v>
      </c>
      <c r="B181" s="1"/>
      <c r="C181" s="1"/>
      <c r="D181" s="1"/>
      <c r="E181" s="1"/>
      <c r="F181" s="1"/>
      <c r="G181" s="1"/>
      <c r="H181" s="12" t="s">
        <v>46</v>
      </c>
    </row>
    <row r="182" ht="15.75" customHeight="1">
      <c r="A182" s="3" t="s">
        <v>6</v>
      </c>
      <c r="B182" s="3" t="s">
        <v>7</v>
      </c>
      <c r="C182" s="3" t="s">
        <v>51</v>
      </c>
      <c r="D182" s="3" t="s">
        <v>52</v>
      </c>
      <c r="E182" s="3" t="s">
        <v>6</v>
      </c>
      <c r="F182" s="3" t="s">
        <v>54</v>
      </c>
      <c r="G182" s="3" t="s">
        <v>51</v>
      </c>
      <c r="H182" s="3" t="s">
        <v>52</v>
      </c>
    </row>
    <row r="183" ht="15.75" customHeight="1">
      <c r="A183" s="9" t="s">
        <v>162</v>
      </c>
      <c r="B183" s="9" t="s">
        <v>233</v>
      </c>
      <c r="C183" s="9"/>
      <c r="D183" s="11">
        <v>7000.0</v>
      </c>
      <c r="E183" s="9" t="s">
        <v>84</v>
      </c>
      <c r="F183" s="9" t="s">
        <v>200</v>
      </c>
      <c r="G183" s="9"/>
      <c r="H183" s="11">
        <v>7000.0</v>
      </c>
    </row>
    <row r="184" ht="15.75" customHeight="1">
      <c r="A184" s="9"/>
      <c r="B184" s="9"/>
      <c r="C184" s="9"/>
      <c r="D184" s="9"/>
      <c r="E184" s="9"/>
      <c r="F184" s="9"/>
      <c r="G184" s="9"/>
      <c r="H184" s="9"/>
    </row>
    <row r="185" ht="15.75" customHeight="1">
      <c r="A185" s="9"/>
      <c r="B185" s="9"/>
      <c r="C185" s="9"/>
      <c r="D185" s="24">
        <v>7000.0</v>
      </c>
      <c r="E185" s="9"/>
      <c r="F185" s="9"/>
      <c r="G185" s="9"/>
      <c r="H185" s="24">
        <v>7000.0</v>
      </c>
    </row>
    <row r="186" ht="15.75" customHeight="1">
      <c r="A186" s="9" t="s">
        <v>119</v>
      </c>
      <c r="B186" s="9" t="s">
        <v>132</v>
      </c>
      <c r="C186" s="9"/>
      <c r="D186" s="11">
        <v>7000.0</v>
      </c>
      <c r="E186" s="9"/>
      <c r="F186" s="9"/>
      <c r="G186" s="9"/>
      <c r="H186" s="9"/>
    </row>
    <row r="187" ht="15.75" customHeight="1">
      <c r="A187" s="1"/>
      <c r="B187" s="1"/>
      <c r="C187" s="1"/>
      <c r="D187" s="26"/>
      <c r="E187" s="1"/>
      <c r="F187" s="1"/>
      <c r="G187" s="1"/>
      <c r="H187" s="1"/>
    </row>
    <row r="188" ht="15.75" customHeight="1">
      <c r="A188" s="4" t="s">
        <v>346</v>
      </c>
    </row>
    <row r="189" ht="15.75" customHeight="1">
      <c r="A189" s="15" t="s">
        <v>40</v>
      </c>
      <c r="B189" s="1"/>
      <c r="C189" s="1"/>
      <c r="D189" s="1"/>
      <c r="E189" s="1"/>
      <c r="F189" s="1"/>
      <c r="G189" s="1"/>
      <c r="H189" s="12" t="s">
        <v>46</v>
      </c>
    </row>
    <row r="190" ht="15.75" customHeight="1">
      <c r="A190" s="3" t="s">
        <v>6</v>
      </c>
      <c r="B190" s="3" t="s">
        <v>7</v>
      </c>
      <c r="C190" s="3" t="s">
        <v>51</v>
      </c>
      <c r="D190" s="3" t="s">
        <v>52</v>
      </c>
      <c r="E190" s="3" t="s">
        <v>6</v>
      </c>
      <c r="F190" s="3" t="s">
        <v>54</v>
      </c>
      <c r="G190" s="3" t="s">
        <v>51</v>
      </c>
      <c r="H190" s="3" t="s">
        <v>52</v>
      </c>
    </row>
    <row r="191" ht="15.75" customHeight="1">
      <c r="A191" s="9" t="s">
        <v>84</v>
      </c>
      <c r="B191" s="9" t="s">
        <v>86</v>
      </c>
      <c r="C191" s="9"/>
      <c r="D191" s="11">
        <v>11000.0</v>
      </c>
      <c r="E191" s="9" t="s">
        <v>148</v>
      </c>
      <c r="F191" s="9" t="s">
        <v>280</v>
      </c>
      <c r="G191" s="9"/>
      <c r="H191" s="11">
        <v>11000.0</v>
      </c>
    </row>
    <row r="192" ht="15.75" customHeight="1">
      <c r="A192" s="9"/>
      <c r="B192" s="9"/>
      <c r="C192" s="9"/>
      <c r="D192" s="9"/>
      <c r="E192" s="9"/>
      <c r="F192" s="9"/>
      <c r="G192" s="9"/>
      <c r="H192" s="9"/>
    </row>
    <row r="193" ht="15.75" customHeight="1">
      <c r="A193" s="9"/>
      <c r="B193" s="9"/>
      <c r="C193" s="9"/>
      <c r="D193" s="24">
        <v>11000.0</v>
      </c>
      <c r="E193" s="9"/>
      <c r="F193" s="9"/>
      <c r="G193" s="9"/>
      <c r="H193" s="24">
        <v>11000.0</v>
      </c>
    </row>
    <row r="194" ht="15.75" customHeight="1">
      <c r="A194" s="9"/>
      <c r="B194" s="9"/>
      <c r="C194" s="9"/>
      <c r="D194" s="9"/>
      <c r="E194" s="9" t="s">
        <v>119</v>
      </c>
      <c r="F194" s="9" t="s">
        <v>120</v>
      </c>
      <c r="G194" s="9"/>
      <c r="H194" s="11">
        <v>11000.0</v>
      </c>
    </row>
    <row r="195" ht="15.75" customHeight="1">
      <c r="A195" s="1"/>
      <c r="B195" s="1"/>
      <c r="C195" s="1"/>
      <c r="D195" s="1"/>
      <c r="E195" s="1"/>
      <c r="F195" s="1"/>
      <c r="G195" s="1"/>
      <c r="H195" s="26"/>
    </row>
    <row r="196" ht="15.75" customHeight="1">
      <c r="A196" s="4" t="s">
        <v>348</v>
      </c>
    </row>
    <row r="197" ht="15.75" customHeight="1">
      <c r="A197" s="15" t="s">
        <v>40</v>
      </c>
      <c r="B197" s="1"/>
      <c r="C197" s="1"/>
      <c r="D197" s="1"/>
      <c r="E197" s="1"/>
      <c r="F197" s="1"/>
      <c r="G197" s="1"/>
      <c r="H197" s="12" t="s">
        <v>46</v>
      </c>
    </row>
    <row r="198" ht="15.75" customHeight="1">
      <c r="A198" s="3" t="s">
        <v>6</v>
      </c>
      <c r="B198" s="3" t="s">
        <v>7</v>
      </c>
      <c r="C198" s="3" t="s">
        <v>51</v>
      </c>
      <c r="D198" s="3" t="s">
        <v>52</v>
      </c>
      <c r="E198" s="3" t="s">
        <v>6</v>
      </c>
      <c r="F198" s="3" t="s">
        <v>54</v>
      </c>
      <c r="G198" s="3" t="s">
        <v>51</v>
      </c>
      <c r="H198" s="3" t="s">
        <v>52</v>
      </c>
    </row>
    <row r="199" ht="15.75" customHeight="1">
      <c r="A199" s="9" t="s">
        <v>166</v>
      </c>
      <c r="B199" s="9" t="s">
        <v>233</v>
      </c>
      <c r="C199" s="9"/>
      <c r="D199" s="11">
        <v>15000.0</v>
      </c>
      <c r="E199" s="9" t="s">
        <v>84</v>
      </c>
      <c r="F199" s="9" t="s">
        <v>200</v>
      </c>
      <c r="G199" s="9"/>
      <c r="H199" s="11">
        <v>15000.0</v>
      </c>
    </row>
    <row r="200" ht="15.75" customHeight="1">
      <c r="A200" s="9"/>
      <c r="B200" s="9"/>
      <c r="C200" s="9"/>
      <c r="D200" s="9"/>
      <c r="E200" s="9"/>
      <c r="F200" s="9"/>
      <c r="G200" s="9"/>
      <c r="H200" s="9"/>
    </row>
    <row r="201" ht="15.75" customHeight="1">
      <c r="A201" s="9"/>
      <c r="B201" s="9"/>
      <c r="C201" s="9"/>
      <c r="D201" s="24">
        <v>15000.0</v>
      </c>
      <c r="E201" s="9"/>
      <c r="F201" s="9"/>
      <c r="G201" s="9"/>
      <c r="H201" s="24">
        <v>15000.0</v>
      </c>
    </row>
    <row r="202" ht="15.75" customHeight="1">
      <c r="A202" s="9" t="s">
        <v>119</v>
      </c>
      <c r="B202" s="9" t="s">
        <v>132</v>
      </c>
      <c r="C202" s="9"/>
      <c r="D202" s="11">
        <v>15000.0</v>
      </c>
      <c r="E202" s="9"/>
      <c r="F202" s="9"/>
      <c r="G202" s="9"/>
      <c r="H202" s="9"/>
    </row>
    <row r="203" ht="15.75" customHeight="1">
      <c r="A203" s="1"/>
      <c r="B203" s="1"/>
      <c r="C203" s="1"/>
      <c r="D203" s="26"/>
      <c r="E203" s="1"/>
      <c r="F203" s="1"/>
      <c r="G203" s="1"/>
      <c r="H203" s="1"/>
    </row>
    <row r="204" ht="15.75" customHeight="1">
      <c r="A204" s="4" t="s">
        <v>351</v>
      </c>
    </row>
    <row r="205" ht="15.75" customHeight="1">
      <c r="A205" s="15" t="s">
        <v>40</v>
      </c>
      <c r="B205" s="1"/>
      <c r="C205" s="1"/>
      <c r="D205" s="1"/>
      <c r="E205" s="1"/>
      <c r="F205" s="1"/>
      <c r="G205" s="1"/>
      <c r="H205" s="12" t="s">
        <v>46</v>
      </c>
    </row>
    <row r="206" ht="15.75" customHeight="1">
      <c r="A206" s="3" t="s">
        <v>6</v>
      </c>
      <c r="B206" s="3" t="s">
        <v>7</v>
      </c>
      <c r="C206" s="3" t="s">
        <v>51</v>
      </c>
      <c r="D206" s="3" t="s">
        <v>52</v>
      </c>
      <c r="E206" s="3" t="s">
        <v>6</v>
      </c>
      <c r="F206" s="3" t="s">
        <v>54</v>
      </c>
      <c r="G206" s="3" t="s">
        <v>51</v>
      </c>
      <c r="H206" s="3" t="s">
        <v>52</v>
      </c>
    </row>
    <row r="207" ht="15.75" customHeight="1">
      <c r="A207" s="9" t="s">
        <v>235</v>
      </c>
      <c r="B207" s="9" t="s">
        <v>155</v>
      </c>
      <c r="C207" s="9"/>
      <c r="D207" s="11">
        <v>8000.0</v>
      </c>
      <c r="E207" s="9" t="s">
        <v>84</v>
      </c>
      <c r="F207" s="9" t="s">
        <v>200</v>
      </c>
      <c r="G207" s="9"/>
      <c r="H207" s="11">
        <v>8000.0</v>
      </c>
    </row>
    <row r="208" ht="15.75" customHeight="1">
      <c r="A208" s="9"/>
      <c r="B208" s="9"/>
      <c r="C208" s="9"/>
      <c r="D208" s="9"/>
      <c r="E208" s="9"/>
      <c r="F208" s="9"/>
      <c r="G208" s="9"/>
      <c r="H208" s="9"/>
    </row>
    <row r="209" ht="15.75" customHeight="1">
      <c r="A209" s="9"/>
      <c r="B209" s="9"/>
      <c r="C209" s="9"/>
      <c r="D209" s="24">
        <v>8000.0</v>
      </c>
      <c r="E209" s="9"/>
      <c r="F209" s="9"/>
      <c r="G209" s="9"/>
      <c r="H209" s="24">
        <v>8000.0</v>
      </c>
    </row>
    <row r="210" ht="15.75" customHeight="1">
      <c r="A210" s="9" t="s">
        <v>119</v>
      </c>
      <c r="B210" s="9" t="s">
        <v>132</v>
      </c>
      <c r="C210" s="9"/>
      <c r="D210" s="11">
        <v>8000.0</v>
      </c>
      <c r="E210" s="9"/>
      <c r="F210" s="9"/>
      <c r="G210" s="9"/>
      <c r="H210" s="9"/>
    </row>
    <row r="211" ht="15.75" customHeight="1">
      <c r="A211" s="1"/>
      <c r="B211" s="1"/>
      <c r="C211" s="1"/>
      <c r="D211" s="26"/>
      <c r="E211" s="1"/>
      <c r="F211" s="1"/>
      <c r="G211" s="1"/>
      <c r="H211" s="1"/>
    </row>
    <row r="212" ht="15.75" customHeight="1">
      <c r="A212" s="4" t="s">
        <v>356</v>
      </c>
    </row>
    <row r="213" ht="15.75" customHeight="1">
      <c r="A213" s="15" t="s">
        <v>40</v>
      </c>
      <c r="B213" s="1"/>
      <c r="C213" s="1"/>
      <c r="D213" s="1"/>
      <c r="E213" s="1"/>
      <c r="F213" s="1"/>
      <c r="G213" s="1"/>
      <c r="H213" s="12" t="s">
        <v>46</v>
      </c>
    </row>
    <row r="214" ht="15.75" customHeight="1">
      <c r="A214" s="3" t="s">
        <v>6</v>
      </c>
      <c r="B214" s="3" t="s">
        <v>7</v>
      </c>
      <c r="C214" s="3" t="s">
        <v>51</v>
      </c>
      <c r="D214" s="3" t="s">
        <v>52</v>
      </c>
      <c r="E214" s="3" t="s">
        <v>6</v>
      </c>
      <c r="F214" s="3" t="s">
        <v>54</v>
      </c>
      <c r="G214" s="3" t="s">
        <v>51</v>
      </c>
      <c r="H214" s="3" t="s">
        <v>52</v>
      </c>
    </row>
    <row r="215" ht="15.75" customHeight="1">
      <c r="A215" s="9" t="s">
        <v>170</v>
      </c>
      <c r="B215" s="9" t="s">
        <v>233</v>
      </c>
      <c r="C215" s="9"/>
      <c r="D215" s="11">
        <v>5000.0</v>
      </c>
      <c r="E215" s="9" t="s">
        <v>84</v>
      </c>
      <c r="F215" s="9" t="s">
        <v>200</v>
      </c>
      <c r="G215" s="9"/>
      <c r="H215" s="11">
        <v>5000.0</v>
      </c>
    </row>
    <row r="216" ht="15.75" customHeight="1">
      <c r="A216" s="9"/>
      <c r="B216" s="9"/>
      <c r="C216" s="9"/>
      <c r="D216" s="9"/>
      <c r="E216" s="9"/>
      <c r="F216" s="9"/>
      <c r="G216" s="9"/>
      <c r="H216" s="9"/>
    </row>
    <row r="217" ht="15.75" customHeight="1">
      <c r="A217" s="9"/>
      <c r="B217" s="9"/>
      <c r="C217" s="9"/>
      <c r="D217" s="24">
        <v>5000.0</v>
      </c>
      <c r="E217" s="9"/>
      <c r="F217" s="9"/>
      <c r="G217" s="9"/>
      <c r="H217" s="24">
        <v>5000.0</v>
      </c>
    </row>
    <row r="218" ht="15.75" customHeight="1">
      <c r="A218" s="9" t="s">
        <v>119</v>
      </c>
      <c r="B218" s="9" t="s">
        <v>132</v>
      </c>
      <c r="C218" s="9"/>
      <c r="D218" s="11">
        <v>5000.0</v>
      </c>
      <c r="E218" s="9"/>
      <c r="F218" s="9"/>
      <c r="G218" s="9"/>
      <c r="H218" s="9"/>
    </row>
    <row r="219" ht="15.75" customHeight="1">
      <c r="A219" s="1"/>
      <c r="B219" s="1"/>
      <c r="C219" s="1"/>
      <c r="D219" s="26"/>
      <c r="E219" s="1"/>
      <c r="F219" s="1"/>
      <c r="G219" s="1"/>
      <c r="H219" s="1"/>
    </row>
    <row r="220" ht="15.75" customHeight="1">
      <c r="A220" s="4" t="s">
        <v>365</v>
      </c>
    </row>
    <row r="221" ht="15.75" customHeight="1">
      <c r="A221" s="15" t="s">
        <v>40</v>
      </c>
      <c r="B221" s="1"/>
      <c r="C221" s="1"/>
      <c r="D221" s="1"/>
      <c r="E221" s="1"/>
      <c r="F221" s="1"/>
      <c r="G221" s="1"/>
      <c r="H221" s="12" t="s">
        <v>46</v>
      </c>
    </row>
    <row r="222" ht="15.75" customHeight="1">
      <c r="A222" s="3" t="s">
        <v>6</v>
      </c>
      <c r="B222" s="3" t="s">
        <v>7</v>
      </c>
      <c r="C222" s="3" t="s">
        <v>51</v>
      </c>
      <c r="D222" s="3" t="s">
        <v>52</v>
      </c>
      <c r="E222" s="3" t="s">
        <v>6</v>
      </c>
      <c r="F222" s="3" t="s">
        <v>54</v>
      </c>
      <c r="G222" s="3" t="s">
        <v>51</v>
      </c>
      <c r="H222" s="3" t="s">
        <v>52</v>
      </c>
    </row>
    <row r="223" ht="15.75" customHeight="1">
      <c r="A223" s="9" t="s">
        <v>84</v>
      </c>
      <c r="B223" s="9" t="s">
        <v>86</v>
      </c>
      <c r="C223" s="9"/>
      <c r="D223" s="11">
        <v>4000.0</v>
      </c>
      <c r="E223" s="9" t="s">
        <v>227</v>
      </c>
      <c r="F223" s="9" t="s">
        <v>198</v>
      </c>
      <c r="G223" s="9"/>
      <c r="H223" s="11">
        <v>4000.0</v>
      </c>
    </row>
    <row r="224" ht="15.75" customHeight="1">
      <c r="A224" s="9"/>
      <c r="B224" s="9"/>
      <c r="C224" s="9"/>
      <c r="D224" s="9"/>
      <c r="E224" s="9"/>
      <c r="F224" s="9"/>
      <c r="G224" s="9"/>
      <c r="H224" s="9"/>
    </row>
    <row r="225" ht="15.75" customHeight="1">
      <c r="A225" s="9"/>
      <c r="B225" s="9"/>
      <c r="C225" s="9"/>
      <c r="D225" s="24">
        <v>4000.0</v>
      </c>
      <c r="E225" s="9"/>
      <c r="F225" s="9"/>
      <c r="G225" s="9"/>
      <c r="H225" s="24">
        <v>4000.0</v>
      </c>
    </row>
    <row r="226" ht="15.75" customHeight="1">
      <c r="A226" s="9"/>
      <c r="B226" s="9"/>
      <c r="C226" s="9"/>
      <c r="D226" s="9"/>
      <c r="E226" s="9" t="s">
        <v>119</v>
      </c>
      <c r="F226" s="9" t="s">
        <v>120</v>
      </c>
      <c r="G226" s="9"/>
      <c r="H226" s="11">
        <v>4000.0</v>
      </c>
    </row>
    <row r="227" ht="15.75" customHeight="1">
      <c r="A227" s="1"/>
      <c r="B227" s="1"/>
      <c r="C227" s="1"/>
      <c r="D227" s="1"/>
      <c r="E227" s="1"/>
      <c r="F227" s="1"/>
      <c r="G227" s="1"/>
      <c r="H227" s="26"/>
    </row>
    <row r="228" ht="15.75" customHeight="1">
      <c r="A228" s="4" t="s">
        <v>368</v>
      </c>
    </row>
    <row r="229" ht="15.75" customHeight="1">
      <c r="A229" s="15" t="s">
        <v>40</v>
      </c>
      <c r="B229" s="1"/>
      <c r="C229" s="1"/>
      <c r="D229" s="1"/>
      <c r="E229" s="1"/>
      <c r="F229" s="1"/>
      <c r="G229" s="1"/>
      <c r="H229" s="12" t="s">
        <v>46</v>
      </c>
    </row>
    <row r="230" ht="15.75" customHeight="1">
      <c r="A230" s="3" t="s">
        <v>6</v>
      </c>
      <c r="B230" s="3" t="s">
        <v>7</v>
      </c>
      <c r="C230" s="3" t="s">
        <v>51</v>
      </c>
      <c r="D230" s="3" t="s">
        <v>52</v>
      </c>
      <c r="E230" s="3" t="s">
        <v>6</v>
      </c>
      <c r="F230" s="3" t="s">
        <v>54</v>
      </c>
      <c r="G230" s="3" t="s">
        <v>51</v>
      </c>
      <c r="H230" s="3" t="s">
        <v>52</v>
      </c>
    </row>
    <row r="231" ht="15.75" customHeight="1">
      <c r="A231" s="9" t="s">
        <v>180</v>
      </c>
      <c r="B231" s="9" t="s">
        <v>233</v>
      </c>
      <c r="C231" s="9"/>
      <c r="D231" s="11">
        <v>10000.0</v>
      </c>
      <c r="E231" s="9" t="s">
        <v>84</v>
      </c>
      <c r="F231" s="9" t="s">
        <v>200</v>
      </c>
      <c r="G231" s="9"/>
      <c r="H231" s="11">
        <v>10000.0</v>
      </c>
    </row>
    <row r="232" ht="15.75" customHeight="1">
      <c r="A232" s="9"/>
      <c r="B232" s="9"/>
      <c r="C232" s="9"/>
      <c r="D232" s="9"/>
      <c r="E232" s="9"/>
      <c r="F232" s="9"/>
      <c r="G232" s="9"/>
      <c r="H232" s="9"/>
    </row>
    <row r="233" ht="15.75" customHeight="1">
      <c r="A233" s="9"/>
      <c r="B233" s="9"/>
      <c r="C233" s="9"/>
      <c r="D233" s="24">
        <v>10000.0</v>
      </c>
      <c r="E233" s="9"/>
      <c r="F233" s="9"/>
      <c r="G233" s="9"/>
      <c r="H233" s="24">
        <v>10000.0</v>
      </c>
    </row>
    <row r="234" ht="15.75" customHeight="1">
      <c r="A234" s="9" t="s">
        <v>119</v>
      </c>
      <c r="B234" s="9" t="s">
        <v>132</v>
      </c>
      <c r="C234" s="9"/>
      <c r="D234" s="11">
        <v>10000.0</v>
      </c>
      <c r="E234" s="9"/>
      <c r="F234" s="9"/>
      <c r="G234" s="9"/>
      <c r="H234" s="9"/>
    </row>
    <row r="235" ht="15.75" customHeight="1">
      <c r="A235" s="1"/>
      <c r="B235" s="1"/>
      <c r="C235" s="1"/>
      <c r="D235" s="26"/>
      <c r="E235" s="1"/>
      <c r="F235" s="1"/>
      <c r="G235" s="1"/>
      <c r="H235" s="1"/>
    </row>
    <row r="236" ht="15.75" customHeight="1">
      <c r="A236" s="4" t="s">
        <v>374</v>
      </c>
    </row>
    <row r="237" ht="15.75" customHeight="1">
      <c r="A237" s="15" t="s">
        <v>40</v>
      </c>
      <c r="B237" s="1"/>
      <c r="C237" s="1"/>
      <c r="D237" s="1"/>
      <c r="E237" s="1"/>
      <c r="F237" s="1"/>
      <c r="G237" s="1"/>
      <c r="H237" s="12" t="s">
        <v>46</v>
      </c>
    </row>
    <row r="238" ht="15.75" customHeight="1">
      <c r="A238" s="3" t="s">
        <v>6</v>
      </c>
      <c r="B238" s="3" t="s">
        <v>7</v>
      </c>
      <c r="C238" s="3" t="s">
        <v>51</v>
      </c>
      <c r="D238" s="3" t="s">
        <v>52</v>
      </c>
      <c r="E238" s="3" t="s">
        <v>6</v>
      </c>
      <c r="F238" s="3" t="s">
        <v>54</v>
      </c>
      <c r="G238" s="3" t="s">
        <v>51</v>
      </c>
      <c r="H238" s="3" t="s">
        <v>52</v>
      </c>
    </row>
    <row r="239" ht="15.75" customHeight="1">
      <c r="A239" s="9" t="s">
        <v>185</v>
      </c>
      <c r="B239" s="9" t="s">
        <v>233</v>
      </c>
      <c r="C239" s="9"/>
      <c r="D239" s="11">
        <v>3500.0</v>
      </c>
      <c r="E239" s="9" t="s">
        <v>84</v>
      </c>
      <c r="F239" s="9" t="s">
        <v>200</v>
      </c>
      <c r="G239" s="9"/>
      <c r="H239" s="11">
        <v>3500.0</v>
      </c>
    </row>
    <row r="240" ht="15.75" customHeight="1">
      <c r="A240" s="9"/>
      <c r="B240" s="9"/>
      <c r="C240" s="9"/>
      <c r="D240" s="9"/>
      <c r="E240" s="9"/>
      <c r="F240" s="9"/>
      <c r="G240" s="9"/>
      <c r="H240" s="9"/>
    </row>
    <row r="241" ht="15.75" customHeight="1">
      <c r="A241" s="9"/>
      <c r="B241" s="9"/>
      <c r="C241" s="9"/>
      <c r="D241" s="24">
        <v>3500.0</v>
      </c>
      <c r="E241" s="9"/>
      <c r="F241" s="9"/>
      <c r="G241" s="9"/>
      <c r="H241" s="24">
        <v>3500.0</v>
      </c>
    </row>
    <row r="242" ht="15.75" customHeight="1">
      <c r="A242" s="9" t="s">
        <v>119</v>
      </c>
      <c r="B242" s="9" t="s">
        <v>132</v>
      </c>
      <c r="C242" s="9"/>
      <c r="D242" s="11">
        <v>3500.0</v>
      </c>
      <c r="E242" s="9"/>
      <c r="F242" s="9"/>
      <c r="G242" s="9"/>
      <c r="H242" s="9"/>
    </row>
    <row r="243" ht="15.75" customHeight="1">
      <c r="A243" s="1"/>
      <c r="B243" s="1"/>
      <c r="C243" s="1"/>
      <c r="D243" s="26"/>
      <c r="E243" s="1"/>
      <c r="F243" s="1"/>
      <c r="G243" s="1"/>
      <c r="H243" s="1"/>
    </row>
    <row r="244" ht="15.75" customHeight="1">
      <c r="A244" s="4" t="s">
        <v>384</v>
      </c>
    </row>
    <row r="245" ht="15.75" customHeight="1">
      <c r="A245" s="15" t="s">
        <v>40</v>
      </c>
      <c r="B245" s="1"/>
      <c r="C245" s="1"/>
      <c r="D245" s="1"/>
      <c r="E245" s="1"/>
      <c r="F245" s="1"/>
      <c r="G245" s="1"/>
      <c r="H245" s="12" t="s">
        <v>46</v>
      </c>
    </row>
    <row r="246" ht="15.75" customHeight="1">
      <c r="A246" s="3" t="s">
        <v>6</v>
      </c>
      <c r="B246" s="3" t="s">
        <v>7</v>
      </c>
      <c r="C246" s="3" t="s">
        <v>51</v>
      </c>
      <c r="D246" s="3" t="s">
        <v>52</v>
      </c>
      <c r="E246" s="3" t="s">
        <v>6</v>
      </c>
      <c r="F246" s="3" t="s">
        <v>54</v>
      </c>
      <c r="G246" s="3" t="s">
        <v>51</v>
      </c>
      <c r="H246" s="3" t="s">
        <v>52</v>
      </c>
    </row>
    <row r="247" ht="15.75" customHeight="1">
      <c r="A247" s="9" t="s">
        <v>57</v>
      </c>
      <c r="B247" s="9" t="s">
        <v>132</v>
      </c>
      <c r="C247" s="9"/>
      <c r="D247" s="11">
        <v>80000.0</v>
      </c>
      <c r="E247" s="9" t="s">
        <v>84</v>
      </c>
      <c r="F247" s="9" t="s">
        <v>200</v>
      </c>
      <c r="G247" s="9"/>
      <c r="H247" s="11">
        <v>110000.0</v>
      </c>
    </row>
    <row r="248" ht="15.75" customHeight="1">
      <c r="A248" s="9" t="s">
        <v>190</v>
      </c>
      <c r="B248" s="9" t="s">
        <v>233</v>
      </c>
      <c r="C248" s="9"/>
      <c r="D248" s="11">
        <v>30000.0</v>
      </c>
      <c r="E248" s="9"/>
      <c r="F248" s="9"/>
      <c r="G248" s="9"/>
      <c r="H248" s="9"/>
    </row>
    <row r="249" ht="15.75" customHeight="1">
      <c r="A249" s="9"/>
      <c r="B249" s="9"/>
      <c r="C249" s="9"/>
      <c r="D249" s="24">
        <v>110000.0</v>
      </c>
      <c r="E249" s="9"/>
      <c r="F249" s="9"/>
      <c r="G249" s="9"/>
      <c r="H249" s="24">
        <v>110000.0</v>
      </c>
    </row>
    <row r="250" ht="15.75" customHeight="1">
      <c r="A250" s="9" t="s">
        <v>119</v>
      </c>
      <c r="B250" s="9" t="s">
        <v>132</v>
      </c>
      <c r="C250" s="9"/>
      <c r="D250" s="11">
        <v>110000.0</v>
      </c>
      <c r="E250" s="9"/>
      <c r="F250" s="9"/>
      <c r="G250" s="9"/>
      <c r="H250" s="9"/>
    </row>
    <row r="251" ht="15.75" customHeight="1">
      <c r="A251" s="1"/>
      <c r="B251" s="1"/>
      <c r="C251" s="1"/>
      <c r="D251" s="26"/>
      <c r="E251" s="1"/>
      <c r="F251" s="1"/>
      <c r="G251" s="1"/>
      <c r="H251" s="1"/>
    </row>
    <row r="252" ht="15.75" customHeight="1">
      <c r="A252" s="4" t="s">
        <v>391</v>
      </c>
    </row>
    <row r="253" ht="15.75" customHeight="1">
      <c r="A253" s="15" t="s">
        <v>40</v>
      </c>
      <c r="B253" s="1"/>
      <c r="C253" s="1"/>
      <c r="D253" s="1"/>
      <c r="E253" s="1"/>
      <c r="F253" s="1"/>
      <c r="G253" s="1"/>
      <c r="H253" s="12" t="s">
        <v>46</v>
      </c>
    </row>
    <row r="254" ht="15.75" customHeight="1">
      <c r="A254" s="3" t="s">
        <v>6</v>
      </c>
      <c r="B254" s="3" t="s">
        <v>7</v>
      </c>
      <c r="C254" s="3" t="s">
        <v>51</v>
      </c>
      <c r="D254" s="3" t="s">
        <v>52</v>
      </c>
      <c r="E254" s="3" t="s">
        <v>6</v>
      </c>
      <c r="F254" s="3" t="s">
        <v>54</v>
      </c>
      <c r="G254" s="3" t="s">
        <v>51</v>
      </c>
      <c r="H254" s="3" t="s">
        <v>52</v>
      </c>
    </row>
    <row r="255" ht="15.75" customHeight="1">
      <c r="A255" s="9" t="s">
        <v>193</v>
      </c>
      <c r="B255" s="9" t="s">
        <v>233</v>
      </c>
      <c r="C255" s="9"/>
      <c r="D255" s="11">
        <v>7000.0</v>
      </c>
      <c r="E255" s="9" t="s">
        <v>84</v>
      </c>
      <c r="F255" s="9" t="s">
        <v>200</v>
      </c>
      <c r="G255" s="9"/>
      <c r="H255" s="11">
        <v>7000.0</v>
      </c>
    </row>
    <row r="256" ht="15.75" customHeight="1">
      <c r="A256" s="9"/>
      <c r="B256" s="9"/>
      <c r="C256" s="9"/>
      <c r="D256" s="9"/>
      <c r="E256" s="9"/>
      <c r="F256" s="9"/>
      <c r="G256" s="9"/>
      <c r="H256" s="9"/>
    </row>
    <row r="257" ht="15.75" customHeight="1">
      <c r="A257" s="9"/>
      <c r="B257" s="9"/>
      <c r="C257" s="9"/>
      <c r="D257" s="24">
        <v>7000.0</v>
      </c>
      <c r="E257" s="9"/>
      <c r="F257" s="9"/>
      <c r="G257" s="9"/>
      <c r="H257" s="24">
        <v>7000.0</v>
      </c>
    </row>
    <row r="258" ht="15.75" customHeight="1">
      <c r="A258" s="9" t="s">
        <v>119</v>
      </c>
      <c r="B258" s="9" t="s">
        <v>132</v>
      </c>
      <c r="C258" s="9"/>
      <c r="D258" s="11">
        <v>7000.0</v>
      </c>
      <c r="E258" s="9"/>
      <c r="F258" s="9"/>
      <c r="G258" s="9"/>
      <c r="H258" s="9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H1"/>
    <mergeCell ref="A3:H3"/>
    <mergeCell ref="A17:H17"/>
    <mergeCell ref="A38:H38"/>
    <mergeCell ref="A49:H49"/>
    <mergeCell ref="A60:H60"/>
    <mergeCell ref="A70:H70"/>
    <mergeCell ref="A80:H80"/>
    <mergeCell ref="A90:H90"/>
    <mergeCell ref="A98:H98"/>
    <mergeCell ref="A106:H106"/>
    <mergeCell ref="A114:H114"/>
    <mergeCell ref="A122:H122"/>
    <mergeCell ref="A130:H130"/>
    <mergeCell ref="A196:H196"/>
    <mergeCell ref="A204:H204"/>
    <mergeCell ref="A212:H212"/>
    <mergeCell ref="A220:H220"/>
    <mergeCell ref="A228:H228"/>
    <mergeCell ref="A236:H236"/>
    <mergeCell ref="A244:H244"/>
    <mergeCell ref="A252:H252"/>
    <mergeCell ref="A138:H138"/>
    <mergeCell ref="A146:H146"/>
    <mergeCell ref="A154:H154"/>
    <mergeCell ref="A162:H162"/>
    <mergeCell ref="A170:H170"/>
    <mergeCell ref="A180:H180"/>
    <mergeCell ref="A188:H18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57"/>
    <col customWidth="1" min="3" max="3" width="14.29"/>
    <col customWidth="1" min="4" max="4" width="14.86"/>
    <col customWidth="1" min="5" max="26" width="8.71"/>
  </cols>
  <sheetData>
    <row r="1">
      <c r="A1" s="2" t="s">
        <v>1</v>
      </c>
    </row>
    <row r="2">
      <c r="A2" s="3" t="s">
        <v>3</v>
      </c>
      <c r="B2" s="3" t="s">
        <v>7</v>
      </c>
      <c r="C2" s="3" t="s">
        <v>11</v>
      </c>
      <c r="D2" s="3" t="s">
        <v>13</v>
      </c>
    </row>
    <row r="3">
      <c r="A3" s="6">
        <v>1.0</v>
      </c>
      <c r="B3" s="9" t="s">
        <v>19</v>
      </c>
      <c r="C3" s="11">
        <v>144500.0</v>
      </c>
      <c r="D3" s="9" t="s">
        <v>25</v>
      </c>
    </row>
    <row r="4">
      <c r="A4" s="6">
        <v>2.0</v>
      </c>
      <c r="B4" s="9" t="s">
        <v>27</v>
      </c>
      <c r="C4" s="11">
        <v>56000.0</v>
      </c>
      <c r="D4" s="9" t="s">
        <v>25</v>
      </c>
    </row>
    <row r="5">
      <c r="A5" s="6">
        <v>3.0</v>
      </c>
      <c r="B5" s="9" t="s">
        <v>29</v>
      </c>
      <c r="C5" s="11">
        <v>320000.0</v>
      </c>
      <c r="D5" s="9" t="s">
        <v>25</v>
      </c>
    </row>
    <row r="6">
      <c r="A6" s="6">
        <v>4.0</v>
      </c>
      <c r="B6" s="9" t="s">
        <v>31</v>
      </c>
      <c r="C6" s="9" t="s">
        <v>25</v>
      </c>
      <c r="D6" s="11">
        <v>25000.0</v>
      </c>
    </row>
    <row r="7">
      <c r="A7" s="6">
        <v>5.0</v>
      </c>
      <c r="B7" s="9" t="s">
        <v>33</v>
      </c>
      <c r="C7" s="11">
        <v>25000.0</v>
      </c>
      <c r="D7" s="9" t="s">
        <v>25</v>
      </c>
    </row>
    <row r="8">
      <c r="A8" s="6">
        <v>6.0</v>
      </c>
      <c r="B8" s="9" t="s">
        <v>34</v>
      </c>
      <c r="C8" s="9" t="s">
        <v>25</v>
      </c>
      <c r="D8" s="11">
        <v>440000.0</v>
      </c>
    </row>
    <row r="9">
      <c r="A9" s="6">
        <v>7.0</v>
      </c>
      <c r="B9" s="9" t="s">
        <v>36</v>
      </c>
      <c r="C9" s="11">
        <v>6000.0</v>
      </c>
      <c r="D9" s="9" t="s">
        <v>25</v>
      </c>
    </row>
    <row r="10">
      <c r="A10" s="6">
        <v>8.0</v>
      </c>
      <c r="B10" s="9" t="s">
        <v>38</v>
      </c>
      <c r="C10" s="11">
        <v>18000.0</v>
      </c>
      <c r="D10" s="9" t="s">
        <v>25</v>
      </c>
    </row>
    <row r="11">
      <c r="A11" s="6">
        <v>9.0</v>
      </c>
      <c r="B11" s="9" t="s">
        <v>41</v>
      </c>
      <c r="C11" s="9" t="s">
        <v>25</v>
      </c>
      <c r="D11" s="11">
        <v>15000.0</v>
      </c>
    </row>
    <row r="12">
      <c r="A12" s="6">
        <v>10.0</v>
      </c>
      <c r="B12" s="9" t="s">
        <v>43</v>
      </c>
      <c r="C12" s="11">
        <v>12000.0</v>
      </c>
      <c r="D12" s="9" t="s">
        <v>25</v>
      </c>
    </row>
    <row r="13">
      <c r="A13" s="6">
        <v>11.0</v>
      </c>
      <c r="B13" s="9" t="s">
        <v>45</v>
      </c>
      <c r="C13" s="11">
        <v>60000.0</v>
      </c>
      <c r="D13" s="9" t="s">
        <v>25</v>
      </c>
    </row>
    <row r="14">
      <c r="A14" s="6">
        <v>12.0</v>
      </c>
      <c r="B14" s="9" t="s">
        <v>47</v>
      </c>
      <c r="C14" s="11">
        <v>28000.0</v>
      </c>
      <c r="D14" s="9" t="s">
        <v>25</v>
      </c>
    </row>
    <row r="15">
      <c r="A15" s="6">
        <v>13.0</v>
      </c>
      <c r="B15" s="9" t="s">
        <v>50</v>
      </c>
      <c r="C15" s="11">
        <v>8000.0</v>
      </c>
      <c r="D15" s="9" t="s">
        <v>25</v>
      </c>
    </row>
    <row r="16">
      <c r="A16" s="6">
        <v>14.0</v>
      </c>
      <c r="B16" s="9" t="s">
        <v>55</v>
      </c>
      <c r="C16" s="9" t="s">
        <v>25</v>
      </c>
      <c r="D16" s="11">
        <v>10000.0</v>
      </c>
    </row>
    <row r="17">
      <c r="A17" s="6">
        <v>15.0</v>
      </c>
      <c r="B17" s="9" t="s">
        <v>56</v>
      </c>
      <c r="C17" s="11">
        <v>22000.0</v>
      </c>
      <c r="D17" s="9" t="s">
        <v>25</v>
      </c>
    </row>
    <row r="18">
      <c r="A18" s="6">
        <v>16.0</v>
      </c>
      <c r="B18" s="9" t="s">
        <v>58</v>
      </c>
      <c r="C18" s="9" t="s">
        <v>25</v>
      </c>
      <c r="D18" s="11">
        <v>150000.0</v>
      </c>
    </row>
    <row r="19">
      <c r="A19" s="6">
        <v>17.0</v>
      </c>
      <c r="B19" s="9" t="s">
        <v>62</v>
      </c>
      <c r="C19" s="11">
        <v>75000.0</v>
      </c>
      <c r="D19" s="9" t="s">
        <v>25</v>
      </c>
    </row>
    <row r="20">
      <c r="A20" s="6">
        <v>18.0</v>
      </c>
      <c r="B20" s="9" t="s">
        <v>63</v>
      </c>
      <c r="C20" s="11">
        <v>7000.0</v>
      </c>
      <c r="D20" s="9" t="s">
        <v>25</v>
      </c>
    </row>
    <row r="21" ht="15.75" customHeight="1">
      <c r="A21" s="6">
        <v>19.0</v>
      </c>
      <c r="B21" s="9" t="s">
        <v>65</v>
      </c>
      <c r="C21" s="9" t="s">
        <v>25</v>
      </c>
      <c r="D21" s="11">
        <v>11000.0</v>
      </c>
    </row>
    <row r="22" ht="15.75" customHeight="1">
      <c r="A22" s="6">
        <v>20.0</v>
      </c>
      <c r="B22" s="9" t="s">
        <v>66</v>
      </c>
      <c r="C22" s="9" t="s">
        <v>25</v>
      </c>
      <c r="D22" s="11">
        <v>905000.0</v>
      </c>
    </row>
    <row r="23" ht="15.75" customHeight="1">
      <c r="A23" s="6">
        <v>21.0</v>
      </c>
      <c r="B23" s="9" t="s">
        <v>69</v>
      </c>
      <c r="C23" s="11">
        <v>15000.0</v>
      </c>
      <c r="D23" s="9" t="s">
        <v>25</v>
      </c>
    </row>
    <row r="24" ht="15.75" customHeight="1">
      <c r="A24" s="6">
        <v>22.0</v>
      </c>
      <c r="B24" s="9" t="s">
        <v>70</v>
      </c>
      <c r="C24" s="11">
        <v>8000.0</v>
      </c>
      <c r="D24" s="9" t="s">
        <v>25</v>
      </c>
    </row>
    <row r="25" ht="15.75" customHeight="1">
      <c r="A25" s="6">
        <v>23.0</v>
      </c>
      <c r="B25" s="9" t="s">
        <v>72</v>
      </c>
      <c r="C25" s="11">
        <v>5000.0</v>
      </c>
      <c r="D25" s="9" t="s">
        <v>25</v>
      </c>
    </row>
    <row r="26" ht="15.75" customHeight="1">
      <c r="A26" s="6">
        <v>24.0</v>
      </c>
      <c r="B26" s="9" t="s">
        <v>73</v>
      </c>
      <c r="C26" s="9" t="s">
        <v>25</v>
      </c>
      <c r="D26" s="11">
        <v>4000.0</v>
      </c>
    </row>
    <row r="27" ht="15.75" customHeight="1">
      <c r="A27" s="6">
        <v>25.0</v>
      </c>
      <c r="B27" s="9" t="s">
        <v>74</v>
      </c>
      <c r="C27" s="11">
        <v>10000.0</v>
      </c>
      <c r="D27" s="9" t="s">
        <v>25</v>
      </c>
    </row>
    <row r="28" ht="15.75" customHeight="1">
      <c r="A28" s="6">
        <v>26.0</v>
      </c>
      <c r="B28" s="9" t="s">
        <v>78</v>
      </c>
      <c r="C28" s="11">
        <v>3500.0</v>
      </c>
      <c r="D28" s="9" t="s">
        <v>25</v>
      </c>
    </row>
    <row r="29" ht="15.75" customHeight="1">
      <c r="A29" s="6">
        <v>27.0</v>
      </c>
      <c r="B29" s="9" t="s">
        <v>81</v>
      </c>
      <c r="C29" s="11">
        <v>110000.0</v>
      </c>
      <c r="D29" s="9" t="s">
        <v>25</v>
      </c>
    </row>
    <row r="30" ht="15.75" customHeight="1">
      <c r="A30" s="6">
        <v>28.0</v>
      </c>
      <c r="B30" s="9" t="s">
        <v>85</v>
      </c>
      <c r="C30" s="11">
        <v>7000.0</v>
      </c>
      <c r="D30" s="9" t="s">
        <v>25</v>
      </c>
    </row>
    <row r="31" ht="15.75" customHeight="1">
      <c r="A31" s="6">
        <v>29.0</v>
      </c>
      <c r="B31" s="9" t="s">
        <v>89</v>
      </c>
      <c r="C31" s="11">
        <v>250000.0</v>
      </c>
      <c r="D31" s="9" t="s">
        <v>25</v>
      </c>
    </row>
    <row r="32" ht="15.75" customHeight="1">
      <c r="A32" s="6">
        <v>30.0</v>
      </c>
      <c r="B32" s="9" t="s">
        <v>80</v>
      </c>
      <c r="C32" s="11">
        <v>120000.0</v>
      </c>
      <c r="D32" s="9" t="s">
        <v>25</v>
      </c>
    </row>
    <row r="33" ht="15.75" customHeight="1">
      <c r="A33" s="6">
        <v>31.0</v>
      </c>
      <c r="B33" s="9" t="s">
        <v>90</v>
      </c>
      <c r="C33" s="11">
        <v>400000.0</v>
      </c>
      <c r="D33" s="9" t="s">
        <v>25</v>
      </c>
    </row>
    <row r="34" ht="15.75" customHeight="1">
      <c r="A34" s="6">
        <v>32.0</v>
      </c>
      <c r="B34" s="9" t="s">
        <v>92</v>
      </c>
      <c r="C34" s="9" t="s">
        <v>25</v>
      </c>
      <c r="D34" s="11">
        <v>150000.0</v>
      </c>
    </row>
    <row r="35" ht="15.75" customHeight="1">
      <c r="A35" s="6"/>
      <c r="B35" s="9"/>
      <c r="C35" s="9"/>
      <c r="D35" s="11"/>
    </row>
    <row r="36" ht="15.75" customHeight="1">
      <c r="A36" s="23" t="s">
        <v>95</v>
      </c>
      <c r="B36" s="17"/>
      <c r="C36" s="24">
        <f t="shared" ref="C36:D36" si="1">SUM(C3:C35)</f>
        <v>1710000</v>
      </c>
      <c r="D36" s="24">
        <f t="shared" si="1"/>
        <v>1710000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6:B3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6.14"/>
    <col customWidth="1" min="3" max="3" width="13.57"/>
    <col customWidth="1" min="4" max="4" width="16.86"/>
    <col customWidth="1" min="5" max="5" width="12.71"/>
    <col customWidth="1" min="6" max="6" width="13.0"/>
    <col customWidth="1" min="7" max="26" width="8.71"/>
  </cols>
  <sheetData>
    <row r="1">
      <c r="A1" s="4" t="s">
        <v>247</v>
      </c>
    </row>
    <row r="2">
      <c r="A2" s="15" t="s">
        <v>40</v>
      </c>
      <c r="B2" s="1"/>
      <c r="C2" s="1"/>
      <c r="D2" s="1"/>
      <c r="E2" s="1"/>
      <c r="F2" s="12" t="s">
        <v>46</v>
      </c>
    </row>
    <row r="3">
      <c r="A3" s="3" t="s">
        <v>7</v>
      </c>
      <c r="B3" s="3" t="s">
        <v>52</v>
      </c>
      <c r="C3" s="3" t="s">
        <v>52</v>
      </c>
      <c r="D3" s="3" t="s">
        <v>7</v>
      </c>
      <c r="E3" s="3" t="s">
        <v>52</v>
      </c>
      <c r="F3" s="3" t="s">
        <v>52</v>
      </c>
    </row>
    <row r="4">
      <c r="A4" s="9" t="s">
        <v>251</v>
      </c>
      <c r="B4" s="9"/>
      <c r="C4" s="11">
        <v>120000.0</v>
      </c>
      <c r="D4" s="9" t="s">
        <v>252</v>
      </c>
      <c r="E4" s="11">
        <v>440000.0</v>
      </c>
      <c r="F4" s="9"/>
    </row>
    <row r="5">
      <c r="A5" s="9" t="s">
        <v>253</v>
      </c>
      <c r="B5" s="11">
        <v>320000.0</v>
      </c>
      <c r="C5" s="9"/>
      <c r="D5" s="27" t="s">
        <v>255</v>
      </c>
      <c r="E5" s="28">
        <v>12000.0</v>
      </c>
      <c r="F5" s="11">
        <v>428000.0</v>
      </c>
    </row>
    <row r="6">
      <c r="A6" s="27" t="s">
        <v>256</v>
      </c>
      <c r="B6" s="28">
        <v>15000.0</v>
      </c>
      <c r="C6" s="11">
        <v>305000.0</v>
      </c>
      <c r="D6" s="9" t="s">
        <v>257</v>
      </c>
      <c r="E6" s="29"/>
      <c r="F6" s="11">
        <v>140000.0</v>
      </c>
    </row>
    <row r="7">
      <c r="A7" s="27" t="s">
        <v>258</v>
      </c>
      <c r="B7" s="29"/>
      <c r="C7" s="9"/>
      <c r="D7" s="9"/>
      <c r="E7" s="9"/>
      <c r="F7" s="9"/>
    </row>
    <row r="8">
      <c r="A8" s="9" t="s">
        <v>259</v>
      </c>
      <c r="B8" s="9"/>
      <c r="C8" s="11">
        <v>18000.0</v>
      </c>
      <c r="D8" s="9"/>
      <c r="E8" s="9"/>
      <c r="F8" s="9"/>
    </row>
    <row r="9">
      <c r="A9" s="9" t="s">
        <v>260</v>
      </c>
      <c r="B9" s="9"/>
      <c r="C9" s="11">
        <v>6000.0</v>
      </c>
      <c r="D9" s="9"/>
      <c r="E9" s="9"/>
      <c r="F9" s="9"/>
    </row>
    <row r="10">
      <c r="A10" s="9" t="s">
        <v>261</v>
      </c>
      <c r="B10" s="9"/>
      <c r="C10" s="11">
        <v>119000.0</v>
      </c>
      <c r="D10" s="9"/>
      <c r="E10" s="9"/>
      <c r="F10" s="9"/>
    </row>
    <row r="11">
      <c r="A11" s="9"/>
      <c r="B11" s="9"/>
      <c r="C11" s="24">
        <f>SUM(C4:C10)</f>
        <v>568000</v>
      </c>
      <c r="D11" s="9"/>
      <c r="E11" s="9"/>
      <c r="F11" s="24">
        <f>SUM(F5:F10)</f>
        <v>568000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21.0"/>
    <col customWidth="1" min="3" max="3" width="17.86"/>
    <col customWidth="1" min="4" max="4" width="29.29"/>
    <col customWidth="1" min="5" max="5" width="16.86"/>
    <col customWidth="1" min="6" max="6" width="15.0"/>
    <col customWidth="1" min="7" max="26" width="8.71"/>
  </cols>
  <sheetData>
    <row r="1">
      <c r="A1" s="4" t="s">
        <v>271</v>
      </c>
    </row>
    <row r="2">
      <c r="A2" s="15" t="s">
        <v>40</v>
      </c>
      <c r="B2" s="1"/>
      <c r="C2" s="1"/>
      <c r="D2" s="1"/>
      <c r="E2" s="1"/>
      <c r="F2" s="30" t="s">
        <v>46</v>
      </c>
    </row>
    <row r="3">
      <c r="A3" s="3" t="s">
        <v>7</v>
      </c>
      <c r="B3" s="3" t="s">
        <v>52</v>
      </c>
      <c r="C3" s="3" t="s">
        <v>52</v>
      </c>
      <c r="D3" s="3" t="s">
        <v>7</v>
      </c>
      <c r="E3" s="3" t="s">
        <v>52</v>
      </c>
      <c r="F3" s="3" t="s">
        <v>52</v>
      </c>
    </row>
    <row r="4">
      <c r="A4" s="9" t="s">
        <v>272</v>
      </c>
      <c r="B4" s="11">
        <v>28000.0</v>
      </c>
      <c r="C4" s="9"/>
      <c r="D4" s="9" t="s">
        <v>274</v>
      </c>
      <c r="E4" s="9"/>
      <c r="F4" s="11">
        <v>119000.0</v>
      </c>
    </row>
    <row r="5">
      <c r="A5" s="27" t="s">
        <v>275</v>
      </c>
      <c r="B5" s="28">
        <v>4000.0</v>
      </c>
      <c r="C5" s="11">
        <v>32000.0</v>
      </c>
      <c r="D5" s="9" t="s">
        <v>276</v>
      </c>
      <c r="E5" s="9"/>
      <c r="F5" s="11">
        <v>10000.0</v>
      </c>
    </row>
    <row r="6">
      <c r="A6" s="9" t="s">
        <v>278</v>
      </c>
      <c r="B6" s="29"/>
      <c r="C6" s="11">
        <v>8000.0</v>
      </c>
      <c r="D6" s="9" t="s">
        <v>279</v>
      </c>
      <c r="E6" s="9"/>
      <c r="F6" s="11">
        <v>11000.0</v>
      </c>
    </row>
    <row r="7">
      <c r="A7" s="9" t="s">
        <v>281</v>
      </c>
      <c r="B7" s="9"/>
      <c r="C7" s="11">
        <v>22000.0</v>
      </c>
      <c r="D7" s="9" t="s">
        <v>282</v>
      </c>
      <c r="E7" s="9"/>
      <c r="F7" s="11">
        <v>4000.0</v>
      </c>
    </row>
    <row r="8">
      <c r="A8" s="9" t="s">
        <v>285</v>
      </c>
      <c r="B8" s="9"/>
      <c r="C8" s="11">
        <v>7000.0</v>
      </c>
      <c r="D8" s="9"/>
      <c r="E8" s="9"/>
      <c r="F8" s="9"/>
    </row>
    <row r="9">
      <c r="A9" s="9" t="s">
        <v>286</v>
      </c>
      <c r="B9" s="11">
        <v>8000.0</v>
      </c>
      <c r="C9" s="9"/>
      <c r="D9" s="9"/>
      <c r="E9" s="9"/>
      <c r="F9" s="9"/>
    </row>
    <row r="10">
      <c r="A10" s="27" t="s">
        <v>287</v>
      </c>
      <c r="B10" s="28">
        <v>2000.0</v>
      </c>
      <c r="C10" s="11">
        <v>6000.0</v>
      </c>
      <c r="D10" s="9"/>
      <c r="E10" s="9"/>
      <c r="F10" s="9"/>
    </row>
    <row r="11">
      <c r="A11" s="9" t="s">
        <v>288</v>
      </c>
      <c r="B11" s="29"/>
      <c r="C11" s="11">
        <v>5000.0</v>
      </c>
      <c r="D11" s="9"/>
      <c r="E11" s="9"/>
      <c r="F11" s="9"/>
    </row>
    <row r="12">
      <c r="A12" s="9" t="s">
        <v>289</v>
      </c>
      <c r="B12" s="9"/>
      <c r="C12" s="11">
        <v>10000.0</v>
      </c>
      <c r="D12" s="9"/>
      <c r="E12" s="9"/>
      <c r="F12" s="9"/>
    </row>
    <row r="13">
      <c r="A13" s="9" t="s">
        <v>290</v>
      </c>
      <c r="B13" s="9"/>
      <c r="C13" s="11">
        <v>3500.0</v>
      </c>
      <c r="D13" s="9"/>
      <c r="E13" s="9"/>
      <c r="F13" s="9"/>
    </row>
    <row r="14">
      <c r="A14" s="9" t="s">
        <v>291</v>
      </c>
      <c r="B14" s="11">
        <v>7000.0</v>
      </c>
      <c r="C14" s="9"/>
      <c r="D14" s="9"/>
      <c r="E14" s="9"/>
      <c r="F14" s="9"/>
    </row>
    <row r="15">
      <c r="A15" s="27" t="s">
        <v>292</v>
      </c>
      <c r="B15" s="28">
        <v>3000.0</v>
      </c>
      <c r="C15" s="11">
        <v>10000.0</v>
      </c>
      <c r="D15" s="9"/>
      <c r="E15" s="9"/>
      <c r="F15" s="9"/>
    </row>
    <row r="16">
      <c r="A16" s="9" t="s">
        <v>294</v>
      </c>
      <c r="B16" s="29"/>
      <c r="C16" s="11">
        <v>2083.0</v>
      </c>
      <c r="D16" s="9"/>
      <c r="E16" s="9"/>
      <c r="F16" s="9"/>
    </row>
    <row r="17">
      <c r="A17" s="9" t="s">
        <v>295</v>
      </c>
      <c r="B17" s="9"/>
      <c r="C17" s="9">
        <v>458.0</v>
      </c>
      <c r="D17" s="9"/>
      <c r="E17" s="9"/>
      <c r="F17" s="9"/>
    </row>
    <row r="18">
      <c r="A18" s="9" t="s">
        <v>296</v>
      </c>
      <c r="B18" s="9"/>
      <c r="C18" s="11">
        <v>1667.0</v>
      </c>
      <c r="D18" s="9"/>
      <c r="E18" s="9"/>
      <c r="F18" s="9"/>
    </row>
    <row r="19">
      <c r="A19" s="9" t="s">
        <v>297</v>
      </c>
      <c r="B19" s="9"/>
      <c r="C19" s="9">
        <v>500.0</v>
      </c>
      <c r="D19" s="9"/>
      <c r="E19" s="9"/>
      <c r="F19" s="9"/>
    </row>
    <row r="20">
      <c r="A20" s="9" t="s">
        <v>298</v>
      </c>
      <c r="B20" s="9"/>
      <c r="C20" s="11">
        <v>35792.0</v>
      </c>
      <c r="D20" s="9"/>
      <c r="E20" s="9"/>
      <c r="F20" s="9"/>
    </row>
    <row r="21" ht="15.75" customHeight="1">
      <c r="A21" s="9"/>
      <c r="B21" s="9"/>
      <c r="C21" s="24">
        <v>144000.0</v>
      </c>
      <c r="D21" s="9"/>
      <c r="E21" s="9"/>
      <c r="F21" s="24">
        <v>144000.0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12.57"/>
    <col customWidth="1" min="3" max="3" width="11.71"/>
    <col customWidth="1" min="4" max="4" width="25.43"/>
    <col customWidth="1" min="5" max="5" width="14.14"/>
    <col customWidth="1" min="6" max="6" width="15.86"/>
    <col customWidth="1" min="7" max="26" width="8.71"/>
  </cols>
  <sheetData>
    <row r="1">
      <c r="A1" s="4" t="s">
        <v>304</v>
      </c>
    </row>
    <row r="2">
      <c r="A2" s="1"/>
      <c r="B2" s="1"/>
      <c r="C2" s="1"/>
      <c r="D2" s="1"/>
      <c r="E2" s="1"/>
      <c r="F2" s="1"/>
    </row>
    <row r="3">
      <c r="A3" s="3" t="s">
        <v>305</v>
      </c>
      <c r="B3" s="3" t="s">
        <v>52</v>
      </c>
      <c r="C3" s="3" t="s">
        <v>52</v>
      </c>
      <c r="D3" s="3" t="s">
        <v>306</v>
      </c>
      <c r="E3" s="3" t="s">
        <v>52</v>
      </c>
      <c r="F3" s="3" t="s">
        <v>52</v>
      </c>
    </row>
    <row r="4">
      <c r="A4" s="9" t="s">
        <v>308</v>
      </c>
      <c r="B4" s="11">
        <v>905000.0</v>
      </c>
      <c r="C4" s="9"/>
      <c r="D4" s="27" t="s">
        <v>309</v>
      </c>
      <c r="E4" s="9"/>
      <c r="F4" s="9"/>
    </row>
    <row r="5">
      <c r="A5" s="27" t="s">
        <v>310</v>
      </c>
      <c r="B5" s="11">
        <v>35792.0</v>
      </c>
      <c r="C5" s="9"/>
      <c r="D5" s="9" t="s">
        <v>311</v>
      </c>
      <c r="E5" s="11">
        <v>144500.0</v>
      </c>
      <c r="F5" s="9"/>
    </row>
    <row r="6">
      <c r="A6" s="9"/>
      <c r="B6" s="11">
        <v>940792.0</v>
      </c>
      <c r="C6" s="9"/>
      <c r="D6" s="9" t="s">
        <v>75</v>
      </c>
      <c r="E6" s="28">
        <v>56000.0</v>
      </c>
      <c r="F6" s="11">
        <v>200500.0</v>
      </c>
    </row>
    <row r="7">
      <c r="A7" s="27" t="s">
        <v>312</v>
      </c>
      <c r="B7" s="28">
        <v>15000.0</v>
      </c>
      <c r="C7" s="11">
        <v>925792.0</v>
      </c>
      <c r="D7" s="9" t="s">
        <v>313</v>
      </c>
      <c r="E7" s="29"/>
      <c r="F7" s="11">
        <v>25000.0</v>
      </c>
    </row>
    <row r="8">
      <c r="A8" s="27" t="s">
        <v>314</v>
      </c>
      <c r="B8" s="29"/>
      <c r="C8" s="9"/>
      <c r="D8" s="9" t="s">
        <v>315</v>
      </c>
      <c r="E8" s="9"/>
      <c r="F8" s="11">
        <v>75000.0</v>
      </c>
    </row>
    <row r="9">
      <c r="A9" s="9" t="s">
        <v>108</v>
      </c>
      <c r="B9" s="9"/>
      <c r="C9" s="11">
        <v>150000.0</v>
      </c>
      <c r="D9" s="9" t="s">
        <v>316</v>
      </c>
      <c r="E9" s="9"/>
      <c r="F9" s="11">
        <v>2000.0</v>
      </c>
    </row>
    <row r="10">
      <c r="A10" s="27" t="s">
        <v>318</v>
      </c>
      <c r="B10" s="9"/>
      <c r="C10" s="9"/>
      <c r="D10" s="9" t="s">
        <v>319</v>
      </c>
      <c r="E10" s="9"/>
      <c r="F10" s="11">
        <v>140000.0</v>
      </c>
    </row>
    <row r="11">
      <c r="A11" s="9" t="s">
        <v>320</v>
      </c>
      <c r="B11" s="9"/>
      <c r="C11" s="11">
        <v>25000.0</v>
      </c>
      <c r="D11" s="27" t="s">
        <v>321</v>
      </c>
      <c r="E11" s="9"/>
      <c r="F11" s="9"/>
    </row>
    <row r="12">
      <c r="A12" s="9" t="s">
        <v>322</v>
      </c>
      <c r="B12" s="9"/>
      <c r="C12" s="11">
        <v>150000.0</v>
      </c>
      <c r="D12" s="9" t="s">
        <v>323</v>
      </c>
      <c r="E12" s="11">
        <v>60000.0</v>
      </c>
      <c r="F12" s="9"/>
    </row>
    <row r="13">
      <c r="A13" s="9" t="s">
        <v>324</v>
      </c>
      <c r="B13" s="9"/>
      <c r="C13" s="11">
        <v>4000.0</v>
      </c>
      <c r="D13" s="27" t="s">
        <v>325</v>
      </c>
      <c r="E13" s="31">
        <v>500.0</v>
      </c>
      <c r="F13" s="11">
        <v>59500.0</v>
      </c>
    </row>
    <row r="14">
      <c r="A14" s="9" t="s">
        <v>326</v>
      </c>
      <c r="B14" s="9"/>
      <c r="C14" s="11">
        <v>3000.0</v>
      </c>
      <c r="D14" s="9" t="s">
        <v>88</v>
      </c>
      <c r="E14" s="32">
        <v>110000.0</v>
      </c>
      <c r="F14" s="9"/>
    </row>
    <row r="15">
      <c r="A15" s="9"/>
      <c r="B15" s="9"/>
      <c r="C15" s="9"/>
      <c r="D15" s="27" t="s">
        <v>328</v>
      </c>
      <c r="E15" s="31">
        <v>458.0</v>
      </c>
      <c r="F15" s="11">
        <v>109542.0</v>
      </c>
    </row>
    <row r="16">
      <c r="A16" s="9"/>
      <c r="B16" s="9"/>
      <c r="C16" s="9"/>
      <c r="D16" s="9" t="s">
        <v>91</v>
      </c>
      <c r="E16" s="32">
        <v>250000.0</v>
      </c>
      <c r="F16" s="9"/>
    </row>
    <row r="17">
      <c r="A17" s="9"/>
      <c r="B17" s="9"/>
      <c r="C17" s="9"/>
      <c r="D17" s="27" t="s">
        <v>329</v>
      </c>
      <c r="E17" s="28">
        <v>2083.0</v>
      </c>
      <c r="F17" s="11">
        <v>247917.0</v>
      </c>
    </row>
    <row r="18">
      <c r="A18" s="9"/>
      <c r="B18" s="9"/>
      <c r="C18" s="9"/>
      <c r="D18" s="9" t="s">
        <v>330</v>
      </c>
      <c r="E18" s="32">
        <v>400000.0</v>
      </c>
      <c r="F18" s="9"/>
    </row>
    <row r="19">
      <c r="A19" s="9"/>
      <c r="B19" s="9"/>
      <c r="C19" s="9"/>
      <c r="D19" s="27" t="s">
        <v>331</v>
      </c>
      <c r="E19" s="28">
        <v>1667.0</v>
      </c>
      <c r="F19" s="11">
        <v>398333.0</v>
      </c>
    </row>
    <row r="20">
      <c r="A20" s="9"/>
      <c r="B20" s="9"/>
      <c r="C20" s="9"/>
      <c r="D20" s="9"/>
      <c r="E20" s="29"/>
      <c r="F20" s="9"/>
    </row>
    <row r="21" ht="15.75" customHeight="1">
      <c r="A21" s="9"/>
      <c r="B21" s="9"/>
      <c r="C21" s="24">
        <f>SUM(C7:C20)</f>
        <v>1257792</v>
      </c>
      <c r="D21" s="9"/>
      <c r="E21" s="9"/>
      <c r="F21" s="24">
        <f>SUM(F6:F20)</f>
        <v>1257792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60.0"/>
    <col customWidth="1" min="3" max="3" width="83.43"/>
    <col customWidth="1" min="4" max="26" width="8.71"/>
  </cols>
  <sheetData>
    <row r="1">
      <c r="A1" s="33" t="s">
        <v>333</v>
      </c>
      <c r="B1" s="34"/>
      <c r="C1" s="35" t="s">
        <v>335</v>
      </c>
    </row>
    <row r="2">
      <c r="A2" s="36" t="s">
        <v>336</v>
      </c>
      <c r="B2" s="37"/>
      <c r="C2" s="38"/>
    </row>
    <row r="3">
      <c r="A3" s="39" t="s">
        <v>338</v>
      </c>
      <c r="B3" s="39" t="s">
        <v>339</v>
      </c>
      <c r="C3" s="40"/>
    </row>
    <row r="4">
      <c r="A4" s="41"/>
      <c r="B4" s="41"/>
      <c r="C4" s="42" t="s">
        <v>340</v>
      </c>
    </row>
    <row r="5">
      <c r="A5" s="43" t="s">
        <v>342</v>
      </c>
      <c r="B5" s="44">
        <v>442500.0</v>
      </c>
      <c r="C5" s="42" t="s">
        <v>343</v>
      </c>
    </row>
    <row r="6">
      <c r="A6" s="43" t="s">
        <v>344</v>
      </c>
      <c r="B6" s="44">
        <v>182000.0</v>
      </c>
      <c r="C6" s="45" t="s">
        <v>345</v>
      </c>
    </row>
    <row r="7">
      <c r="A7" s="43" t="s">
        <v>20</v>
      </c>
      <c r="B7" s="46">
        <f>SUM(B5/B6)</f>
        <v>2.431318681</v>
      </c>
      <c r="C7" s="45" t="s">
        <v>347</v>
      </c>
    </row>
    <row r="8">
      <c r="A8" s="47"/>
      <c r="B8" s="48"/>
      <c r="C8" s="49"/>
    </row>
    <row r="9">
      <c r="A9" s="50" t="s">
        <v>349</v>
      </c>
      <c r="B9" s="51" t="s">
        <v>350</v>
      </c>
      <c r="C9" s="40"/>
    </row>
    <row r="10">
      <c r="A10" s="41"/>
      <c r="B10" s="41"/>
      <c r="C10" s="42" t="s">
        <v>352</v>
      </c>
    </row>
    <row r="11">
      <c r="A11" s="43" t="s">
        <v>353</v>
      </c>
      <c r="B11" s="44">
        <v>300500.0</v>
      </c>
      <c r="C11" s="42" t="s">
        <v>354</v>
      </c>
    </row>
    <row r="12">
      <c r="A12" s="43" t="s">
        <v>344</v>
      </c>
      <c r="B12" s="44">
        <v>182000.0</v>
      </c>
      <c r="C12" s="42" t="s">
        <v>355</v>
      </c>
    </row>
    <row r="13">
      <c r="A13" s="52" t="s">
        <v>22</v>
      </c>
      <c r="B13" s="46">
        <f>SUM(B11/B12)</f>
        <v>1.651098901</v>
      </c>
      <c r="C13" s="42" t="s">
        <v>357</v>
      </c>
    </row>
    <row r="14">
      <c r="A14" s="43"/>
      <c r="B14" s="48"/>
      <c r="C14" s="40"/>
    </row>
    <row r="15">
      <c r="A15" s="50" t="s">
        <v>358</v>
      </c>
      <c r="B15" s="39" t="s">
        <v>359</v>
      </c>
      <c r="C15" s="40" t="s">
        <v>360</v>
      </c>
    </row>
    <row r="16">
      <c r="A16" s="41"/>
      <c r="B16" s="41"/>
      <c r="C16" s="53" t="s">
        <v>361</v>
      </c>
    </row>
    <row r="17">
      <c r="A17" s="43" t="s">
        <v>362</v>
      </c>
      <c r="B17" s="44">
        <v>200500.0</v>
      </c>
      <c r="C17" s="42" t="s">
        <v>363</v>
      </c>
    </row>
    <row r="18">
      <c r="A18" s="43" t="s">
        <v>344</v>
      </c>
      <c r="B18" s="44">
        <v>182000.0</v>
      </c>
      <c r="C18" s="42" t="s">
        <v>364</v>
      </c>
    </row>
    <row r="19">
      <c r="A19" s="43" t="s">
        <v>42</v>
      </c>
      <c r="B19" s="54">
        <f>SUM(B17/B18)</f>
        <v>1.101648352</v>
      </c>
      <c r="C19" s="42" t="s">
        <v>366</v>
      </c>
    </row>
    <row r="20">
      <c r="A20" s="55"/>
      <c r="B20" s="48"/>
      <c r="C20" s="56"/>
    </row>
    <row r="21" ht="15.75" customHeight="1">
      <c r="A21" s="39" t="s">
        <v>367</v>
      </c>
      <c r="B21" s="39" t="s">
        <v>369</v>
      </c>
      <c r="C21" s="42"/>
    </row>
    <row r="22" ht="15.75" customHeight="1">
      <c r="A22" s="41"/>
      <c r="B22" s="41"/>
      <c r="C22" s="42" t="s">
        <v>352</v>
      </c>
    </row>
    <row r="23" ht="15.75" customHeight="1">
      <c r="A23" s="43" t="s">
        <v>370</v>
      </c>
      <c r="B23" s="44">
        <v>332000.0</v>
      </c>
      <c r="C23" s="42" t="s">
        <v>371</v>
      </c>
    </row>
    <row r="24" ht="15.75" customHeight="1">
      <c r="A24" s="43" t="s">
        <v>372</v>
      </c>
      <c r="B24" s="44">
        <v>925792.0</v>
      </c>
      <c r="C24" s="42" t="s">
        <v>373</v>
      </c>
    </row>
    <row r="25" ht="15.75" customHeight="1">
      <c r="A25" s="43" t="s">
        <v>24</v>
      </c>
      <c r="B25" s="57">
        <f>SUM(B23/B24)</f>
        <v>0.3586118696</v>
      </c>
      <c r="C25" s="42" t="s">
        <v>375</v>
      </c>
    </row>
    <row r="26" ht="15.75" customHeight="1">
      <c r="A26" s="47"/>
      <c r="B26" s="48"/>
      <c r="C26" s="40"/>
    </row>
    <row r="27" ht="15.75" customHeight="1">
      <c r="A27" s="50" t="s">
        <v>376</v>
      </c>
      <c r="B27" s="39" t="s">
        <v>377</v>
      </c>
      <c r="C27" s="40" t="s">
        <v>378</v>
      </c>
    </row>
    <row r="28" ht="15.75" customHeight="1">
      <c r="A28" s="41"/>
      <c r="B28" s="41"/>
      <c r="C28" s="42" t="s">
        <v>379</v>
      </c>
    </row>
    <row r="29" ht="15.75" customHeight="1">
      <c r="A29" s="43" t="s">
        <v>370</v>
      </c>
      <c r="B29" s="44">
        <v>332000.0</v>
      </c>
      <c r="C29" s="42" t="s">
        <v>380</v>
      </c>
    </row>
    <row r="30" ht="15.75" customHeight="1">
      <c r="A30" s="43" t="s">
        <v>381</v>
      </c>
      <c r="B30" s="44">
        <v>1257792.0</v>
      </c>
      <c r="C30" s="42" t="s">
        <v>382</v>
      </c>
    </row>
    <row r="31" ht="15.75" customHeight="1">
      <c r="A31" s="43" t="s">
        <v>383</v>
      </c>
      <c r="B31" s="58">
        <f>SUM(B29/B30)</f>
        <v>0.2639546125</v>
      </c>
      <c r="C31" s="42" t="s">
        <v>385</v>
      </c>
    </row>
    <row r="32" ht="15.75" customHeight="1">
      <c r="A32" s="47"/>
      <c r="B32" s="59"/>
      <c r="C32" s="40"/>
    </row>
    <row r="33" ht="15.75" customHeight="1">
      <c r="A33" s="50" t="s">
        <v>386</v>
      </c>
      <c r="B33" s="50" t="s">
        <v>387</v>
      </c>
      <c r="C33" s="40"/>
    </row>
    <row r="34" ht="15.75" customHeight="1">
      <c r="A34" s="41"/>
      <c r="B34" s="41"/>
      <c r="C34" s="42" t="s">
        <v>388</v>
      </c>
    </row>
    <row r="35" ht="15.75" customHeight="1">
      <c r="A35" s="43" t="s">
        <v>389</v>
      </c>
      <c r="B35" s="44">
        <v>428000.0</v>
      </c>
      <c r="C35" s="42" t="s">
        <v>390</v>
      </c>
    </row>
    <row r="36" ht="15.75" customHeight="1">
      <c r="A36" s="43" t="s">
        <v>381</v>
      </c>
      <c r="B36" s="44">
        <v>1257792.0</v>
      </c>
      <c r="C36" s="42" t="s">
        <v>392</v>
      </c>
    </row>
    <row r="37" ht="15.75" customHeight="1">
      <c r="A37" s="52" t="s">
        <v>393</v>
      </c>
      <c r="B37" s="58">
        <f>B35/B36</f>
        <v>0.3402788378</v>
      </c>
      <c r="C37" s="60" t="s">
        <v>394</v>
      </c>
    </row>
    <row r="38" ht="15.75" customHeight="1">
      <c r="A38" s="55"/>
      <c r="B38" s="48"/>
      <c r="C38" s="56"/>
    </row>
    <row r="39" ht="15.75" customHeight="1">
      <c r="A39" s="39" t="s">
        <v>395</v>
      </c>
      <c r="B39" s="39" t="s">
        <v>396</v>
      </c>
      <c r="C39" s="42"/>
    </row>
    <row r="40" ht="15.75" customHeight="1">
      <c r="A40" s="41"/>
      <c r="B40" s="41"/>
      <c r="C40" s="42" t="s">
        <v>397</v>
      </c>
    </row>
    <row r="41" ht="15.75" customHeight="1">
      <c r="A41" s="43" t="s">
        <v>389</v>
      </c>
      <c r="B41" s="44">
        <v>428000.0</v>
      </c>
      <c r="C41" s="53" t="s">
        <v>398</v>
      </c>
    </row>
    <row r="42" ht="15.75" customHeight="1">
      <c r="A42" s="43" t="s">
        <v>399</v>
      </c>
      <c r="B42" s="44">
        <v>260500.0</v>
      </c>
      <c r="C42" s="42" t="s">
        <v>400</v>
      </c>
    </row>
    <row r="43" ht="15.75" customHeight="1">
      <c r="A43" s="43" t="s">
        <v>401</v>
      </c>
      <c r="B43" s="58">
        <f>B41/B42</f>
        <v>1.642994242</v>
      </c>
      <c r="C43" s="42" t="s">
        <v>402</v>
      </c>
    </row>
    <row r="44" ht="15.75" customHeight="1">
      <c r="A44" s="55"/>
      <c r="B44" s="48"/>
      <c r="C44" s="56"/>
    </row>
    <row r="45" ht="15.75" customHeight="1">
      <c r="A45" s="61" t="s">
        <v>403</v>
      </c>
      <c r="B45" s="61" t="s">
        <v>404</v>
      </c>
      <c r="C45" s="45"/>
    </row>
    <row r="46" ht="15.75" customHeight="1">
      <c r="A46" s="62"/>
      <c r="B46" s="62"/>
      <c r="C46" s="45" t="s">
        <v>405</v>
      </c>
    </row>
    <row r="47" ht="15.75" customHeight="1">
      <c r="A47" s="63" t="s">
        <v>406</v>
      </c>
      <c r="B47" s="64">
        <v>309000.0</v>
      </c>
      <c r="C47" s="45" t="s">
        <v>407</v>
      </c>
    </row>
    <row r="48" ht="15.75" customHeight="1">
      <c r="A48" s="63" t="s">
        <v>408</v>
      </c>
      <c r="B48" s="65">
        <v>130000.0</v>
      </c>
      <c r="C48" s="45" t="s">
        <v>409</v>
      </c>
    </row>
    <row r="49" ht="15.75" customHeight="1">
      <c r="A49" s="66" t="s">
        <v>32</v>
      </c>
      <c r="B49" s="67">
        <f>B47/B48</f>
        <v>2.376923077</v>
      </c>
      <c r="C49" s="68" t="s">
        <v>410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C1:C2"/>
    <mergeCell ref="A2:B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2026-09-28T03:11:10Z</dcterms:created>
  <dc:creator>acer</dc:creator>
</cp:coreProperties>
</file>